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emf" ContentType="image/x-emf"/>
  <Default Extension="xml" ContentType="application/xml"/>
  <Default Extension="vml" ContentType="application/vnd.openxmlformats-officedocument.vmlDrawing"/>
  <Default Extension="doc" ContentType="application/msword"/>
  <Override PartName="/xl/workbook.xml" ContentType="application/vnd.openxmlformats-officedocument.spreadsheetml.sheet.main+xml"/>
  <Override PartName="/xl/worksheets/sheet4.xml" ContentType="application/vnd.openxmlformats-officedocument.spreadsheetml.worksheet+xml"/>
  <Override PartName="/xl/worksheets/sheet3.xml" ContentType="application/vnd.openxmlformats-officedocument.spreadsheetml.worksheet+xml"/>
  <Override PartName="/xl/drawings/drawing30.xml" ContentType="application/vnd.openxmlformats-officedocument.drawing+xml"/>
  <Override PartName="/xl/drawings/drawing29.xml" ContentType="application/vnd.openxmlformats-officedocument.drawing+xml"/>
  <Override PartName="/xl/drawings/drawing28.xml" ContentType="application/vnd.openxmlformats-officedocument.drawing+xml"/>
  <Override PartName="/xl/drawings/drawing27.xml" ContentType="application/vnd.openxmlformats-officedocument.drawing+xml"/>
  <Override PartName="/xl/worksheets/sheet2.xml" ContentType="application/vnd.openxmlformats-officedocument.spreadsheetml.worksheet+xml"/>
  <Override PartName="/xl/drawings/drawing26.xml" ContentType="application/vnd.openxmlformats-officedocument.drawing+xml"/>
  <Override PartName="/xl/drawings/drawing25.xml" ContentType="application/vnd.openxmlformats-officedocument.drawing+xml"/>
  <Override PartName="/xl/drawings/drawing24.xml" ContentType="application/vnd.openxmlformats-officedocument.drawing+xml"/>
  <Override PartName="/xl/drawings/drawing16.xml" ContentType="application/vnd.openxmlformats-officedocument.drawing+xml"/>
  <Override PartName="/xl/drawings/drawing15.xml" ContentType="application/vnd.openxmlformats-officedocument.drawing+xml"/>
  <Override PartName="/xl/drawings/drawing14.xml" ContentType="application/vnd.openxmlformats-officedocument.drawing+xml"/>
  <Override PartName="/xl/drawings/drawing13.xml" ContentType="application/vnd.openxmlformats-officedocument.drawing+xml"/>
  <Override PartName="/xl/drawings/drawing12.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3.xml" ContentType="application/vnd.openxmlformats-officedocument.drawing+xml"/>
  <Override PartName="/xl/drawings/drawing22.xml" ContentType="application/vnd.openxmlformats-officedocument.drawing+xml"/>
  <Override PartName="/xl/drawings/drawing21.xml" ContentType="application/vnd.openxmlformats-officedocument.drawing+xml"/>
  <Override PartName="/xl/drawings/drawing20.xml" ContentType="application/vnd.openxmlformats-officedocument.drawing+xml"/>
  <Override PartName="/xl/drawings/drawing11.xml" ContentType="application/vnd.openxmlformats-officedocument.drawing+xml"/>
  <Override PartName="/xl/worksheets/sheet1.xml" ContentType="application/vnd.openxmlformats-officedocument.spreadsheetml.worksheet+xml"/>
  <Override PartName="/xl/drawings/drawing10.xml" ContentType="application/vnd.openxmlformats-officedocument.drawing+xml"/>
  <Override PartName="/xl/drawings/drawing5.xml" ContentType="application/vnd.openxmlformats-officedocument.drawing+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drawings/drawing4.xml" ContentType="application/vnd.openxmlformats-officedocument.drawing+xml"/>
  <Override PartName="/xl/worksheets/sheet32.xml" ContentType="application/vnd.openxmlformats-officedocument.spreadsheetml.worksheet+xml"/>
  <Override PartName="/xl/worksheets/sheet33.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drawings/drawing2.xml" ContentType="application/vnd.openxmlformats-officedocument.drawing+xml"/>
  <Override PartName="/xl/worksheets/sheet37.xml" ContentType="application/vnd.openxmlformats-officedocument.spreadsheetml.worksheet+xml"/>
  <Override PartName="/xl/worksheets/sheet36.xml" ContentType="application/vnd.openxmlformats-officedocument.spreadsheetml.worksheet+xml"/>
  <Override PartName="/xl/worksheets/sheet35.xml" ContentType="application/vnd.openxmlformats-officedocument.spreadsheetml.worksheet+xml"/>
  <Override PartName="/xl/drawings/drawing3.xml" ContentType="application/vnd.openxmlformats-officedocument.drawing+xml"/>
  <Override PartName="/xl/worksheets/sheet34.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worksheets/sheet8.xml" ContentType="application/vnd.openxmlformats-officedocument.spreadsheetml.worksheet+xml"/>
  <Override PartName="/xl/drawings/drawing9.xml" ContentType="application/vnd.openxmlformats-officedocument.drawing+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drawings/drawing6.xml" ContentType="application/vnd.openxmlformats-officedocument.drawing+xml"/>
  <Override PartName="/xl/worksheets/sheet20.xml" ContentType="application/vnd.openxmlformats-officedocument.spreadsheetml.worksheet+xml"/>
  <Override PartName="/xl/worksheets/sheet19.xml" ContentType="application/vnd.openxmlformats-officedocument.spreadsheetml.worksheet+xml"/>
  <Override PartName="/xl/worksheets/sheet18.xml" ContentType="application/vnd.openxmlformats-officedocument.spreadsheetml.worksheet+xml"/>
  <Override PartName="/xl/drawings/drawing7.xml" ContentType="application/vnd.openxmlformats-officedocument.drawing+xml"/>
  <Override PartName="/xl/worksheets/sheet17.xml" ContentType="application/vnd.openxmlformats-officedocument.spreadsheetml.worksheet+xml"/>
  <Override PartName="/xl/worksheets/sheet16.xml" ContentType="application/vnd.openxmlformats-officedocument.spreadsheetml.worksheet+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tabRatio="909" firstSheet="15" activeTab="36"/>
  </bookViews>
  <sheets>
    <sheet name="Detailed adjustments" sheetId="58" r:id="rId1"/>
    <sheet name="B2" sheetId="61" r:id="rId2"/>
    <sheet name="B3" sheetId="62" r:id="rId3"/>
    <sheet name="B4.1" sheetId="64" r:id="rId4"/>
    <sheet name="B4.2" sheetId="20" r:id="rId5"/>
    <sheet name="B4.3" sheetId="65" r:id="rId6"/>
    <sheet name="B4.4" sheetId="66" r:id="rId7"/>
    <sheet name="B4.5" sheetId="67" r:id="rId8"/>
    <sheet name="B4.6" sheetId="68" r:id="rId9"/>
    <sheet name="B4.7" sheetId="69" r:id="rId10"/>
    <sheet name="B4.8" sheetId="70" r:id="rId11"/>
    <sheet name="B4.9" sheetId="72" r:id="rId12"/>
    <sheet name="B4.9.1" sheetId="17" r:id="rId13"/>
    <sheet name="B4.9.2" sheetId="24" r:id="rId14"/>
    <sheet name="B4.9.2a" sheetId="42" r:id="rId15"/>
    <sheet name="B4.9.3" sheetId="23" r:id="rId16"/>
    <sheet name="B4.9.3a" sheetId="43" r:id="rId17"/>
    <sheet name="B4.9.4" sheetId="22" r:id="rId18"/>
    <sheet name="B4.9.4a" sheetId="45" r:id="rId19"/>
    <sheet name="B4.9.5" sheetId="21" r:id="rId20"/>
    <sheet name="B4.9.5a" sheetId="46" r:id="rId21"/>
    <sheet name="B4.10" sheetId="6" r:id="rId22"/>
    <sheet name="B4.11" sheetId="8" r:id="rId23"/>
    <sheet name="B4.12" sheetId="14" r:id="rId24"/>
    <sheet name="B4.12.1" sheetId="55" r:id="rId25"/>
    <sheet name="B4.12.2" sheetId="56" r:id="rId26"/>
    <sheet name="B5" sheetId="51" r:id="rId27"/>
    <sheet name="B6" sheetId="16" r:id="rId28"/>
    <sheet name="B6.1" sheetId="19" r:id="rId29"/>
    <sheet name="B6.2" sheetId="18" r:id="rId30"/>
    <sheet name="B8" sheetId="35" r:id="rId31"/>
    <sheet name="B9" sheetId="36" r:id="rId32"/>
    <sheet name="B10" sheetId="37" r:id="rId33"/>
    <sheet name="B11" sheetId="59" r:id="rId34"/>
    <sheet name="B11.1" sheetId="38" r:id="rId35"/>
    <sheet name="B11.2" sheetId="39" r:id="rId36"/>
    <sheet name="Other income" sheetId="25" r:id="rId37"/>
  </sheets>
  <definedNames>
    <definedName name="a" localSheetId="3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 localSheetId="3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 localSheetId="3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 localSheetId="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 localSheetId="2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 localSheetId="3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 localSheetId="3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xlnm.Print_Area" localSheetId="32">'B10'!$A$1:$H$26</definedName>
    <definedName name="_xlnm.Print_Area" localSheetId="33">'B11'!$A$1:$F$36</definedName>
    <definedName name="_xlnm.Print_Area" localSheetId="34">B11.1!$A$1:$G$35</definedName>
    <definedName name="_xlnm.Print_Area" localSheetId="35">B11.2!$A$1:$H$49</definedName>
    <definedName name="_xlnm.Print_Area" localSheetId="1">'B2'!$A$1:$H$68</definedName>
    <definedName name="_xlnm.Print_Area" localSheetId="21">B4.10!$A$1:$H$53</definedName>
    <definedName name="_xlnm.Print_Area" localSheetId="22">B4.11!$A$1:$F$39</definedName>
    <definedName name="_xlnm.Print_Area" localSheetId="23">B4.12!$A$1:$F$49</definedName>
    <definedName name="_xlnm.Print_Area" localSheetId="4">B4.2!$A$1:$H$54</definedName>
    <definedName name="_xlnm.Print_Area" localSheetId="5">B4.3!$A$1:$H$66</definedName>
    <definedName name="_xlnm.Print_Area" localSheetId="7">B4.5!$A$1:$H$40</definedName>
    <definedName name="_xlnm.Print_Area" localSheetId="9">B4.7!$A$1:$F$52</definedName>
    <definedName name="_xlnm.Print_Area" localSheetId="10">B4.8!$A$1:$F$47</definedName>
    <definedName name="_xlnm.Print_Area" localSheetId="11">B4.9!$A$1:$F$29</definedName>
    <definedName name="_xlnm.Print_Area" localSheetId="12">B4.9.1!$A$1:$I$31</definedName>
    <definedName name="_xlnm.Print_Area" localSheetId="13">B4.9.2!$A$1:$F$61</definedName>
    <definedName name="_xlnm.Print_Area" localSheetId="14">B4.9.2a!$A$1:$I$19</definedName>
    <definedName name="_xlnm.Print_Area" localSheetId="15">B4.9.3!$A$1:$H$86</definedName>
    <definedName name="_xlnm.Print_Area" localSheetId="16">B4.9.3a!$A$1:$F$52</definedName>
    <definedName name="_xlnm.Print_Area" localSheetId="17">B4.9.4!$A$1:$G$56</definedName>
    <definedName name="_xlnm.Print_Area" localSheetId="18">B4.9.4a!$A$1:$E$20</definedName>
    <definedName name="_xlnm.Print_Area" localSheetId="19">B4.9.5!$A$1:$G$47</definedName>
    <definedName name="_xlnm.Print_Area" localSheetId="20">B4.9.5a!$A$1:$F$21</definedName>
    <definedName name="_xlnm.Print_Area" localSheetId="27">'B6'!$A$1:$F$37</definedName>
    <definedName name="_xlnm.Print_Area" localSheetId="28">B6.1!$A$1:$G$26</definedName>
    <definedName name="_xlnm.Print_Area" localSheetId="29">B6.2!$A$1:$G$42</definedName>
    <definedName name="_xlnm.Print_Area" localSheetId="30">'B8'!$A$1:$H$56</definedName>
    <definedName name="_xlnm.Print_Area" localSheetId="31">'B9'!$A$1:$H$32</definedName>
    <definedName name="_xlnm.Print_Area" localSheetId="0">'Detailed adjustments'!$A$1:$E$72</definedName>
    <definedName name="_xlnm.Print_Area" localSheetId="36">'Other income'!$A$1:$G$71</definedName>
  </definedNames>
  <calcPr calcId="125725"/>
</workbook>
</file>

<file path=xl/calcChain.xml><?xml version="1.0" encoding="utf-8"?>
<calcChain xmlns="http://schemas.openxmlformats.org/spreadsheetml/2006/main">
  <c r="D33" i="59"/>
  <c r="C49" i="58"/>
  <c r="D49" s="1"/>
  <c r="D25"/>
  <c r="D34" i="16"/>
  <c r="D24" i="72"/>
  <c r="D23"/>
  <c r="C83" i="23"/>
  <c r="D22" i="72"/>
  <c r="D21"/>
  <c r="D26" i="17"/>
  <c r="D39" i="58"/>
  <c r="A29"/>
  <c r="A31" s="1"/>
  <c r="A33" s="1"/>
  <c r="A35" s="1"/>
  <c r="A37" s="1"/>
  <c r="A27"/>
  <c r="D44" i="70"/>
  <c r="D49" i="68"/>
  <c r="D37" i="67"/>
  <c r="D36" i="8"/>
  <c r="D33" i="58"/>
  <c r="D31"/>
  <c r="C23" i="19"/>
  <c r="I13" i="42"/>
  <c r="H13"/>
  <c r="C32" i="55"/>
  <c r="C31"/>
  <c r="C33"/>
  <c r="C30"/>
  <c r="C21" i="58"/>
  <c r="D15" i="55"/>
  <c r="D30"/>
  <c r="D31"/>
  <c r="D33"/>
  <c r="D35" i="58"/>
  <c r="A23"/>
  <c r="D27"/>
  <c r="D23"/>
  <c r="D69"/>
  <c r="A67"/>
  <c r="A69"/>
  <c r="C57"/>
  <c r="D29"/>
  <c r="D37"/>
  <c r="D67"/>
  <c r="D65"/>
  <c r="D57"/>
  <c r="C25" i="55"/>
  <c r="D25"/>
  <c r="D21"/>
  <c r="C21"/>
  <c r="C15"/>
  <c r="E18" i="56"/>
  <c r="C67" i="25"/>
  <c r="C41" i="21"/>
  <c r="F21" i="46"/>
  <c r="F19"/>
  <c r="F18"/>
  <c r="F17"/>
  <c r="F16"/>
  <c r="F15"/>
  <c r="E16"/>
  <c r="E17"/>
  <c r="E18"/>
  <c r="E19"/>
  <c r="E15"/>
  <c r="D51" i="20"/>
  <c r="C51"/>
  <c r="C53" i="22"/>
  <c r="E18" i="45"/>
  <c r="E17"/>
  <c r="E16"/>
  <c r="E15"/>
  <c r="E20"/>
  <c r="F50" i="43"/>
  <c r="F49"/>
  <c r="F48"/>
  <c r="F47"/>
  <c r="F46"/>
  <c r="F27"/>
  <c r="F26"/>
  <c r="F25"/>
  <c r="F24"/>
  <c r="F23"/>
  <c r="I14" i="42"/>
  <c r="I17"/>
  <c r="I16"/>
  <c r="I15"/>
  <c r="H17"/>
  <c r="H16"/>
  <c r="H15"/>
  <c r="H14"/>
  <c r="C46" i="39"/>
  <c r="C32" i="38"/>
  <c r="C23" i="37"/>
  <c r="C29" i="36"/>
  <c r="C53" i="35"/>
  <c r="C39" i="18"/>
  <c r="E50" i="20"/>
  <c r="E49"/>
  <c r="E48"/>
  <c r="E47"/>
  <c r="E46"/>
  <c r="E45"/>
  <c r="E44"/>
  <c r="E43"/>
  <c r="E42"/>
  <c r="D46" i="14"/>
  <c r="E51" i="20"/>
  <c r="D21" i="58"/>
  <c r="D15" l="1"/>
  <c r="D71" s="1"/>
  <c r="C15"/>
  <c r="C71" s="1"/>
  <c r="D26" i="72"/>
  <c r="C44" i="21"/>
  <c r="D25" i="72" s="1"/>
  <c r="C43" i="21"/>
</calcChain>
</file>

<file path=xl/sharedStrings.xml><?xml version="1.0" encoding="utf-8"?>
<sst xmlns="http://schemas.openxmlformats.org/spreadsheetml/2006/main" count="1604" uniqueCount="662">
  <si>
    <t>ABCD</t>
  </si>
  <si>
    <t>Client name:</t>
  </si>
  <si>
    <t>Name</t>
  </si>
  <si>
    <t>Date</t>
  </si>
  <si>
    <t xml:space="preserve">Period: </t>
  </si>
  <si>
    <t xml:space="preserve">Prepared by: </t>
  </si>
  <si>
    <t>Reviewed by:</t>
  </si>
  <si>
    <t>-</t>
  </si>
  <si>
    <t>2.  Proposed adjustment</t>
  </si>
  <si>
    <t>No.</t>
  </si>
  <si>
    <t>Description of adjustment</t>
  </si>
  <si>
    <t>Amount</t>
  </si>
  <si>
    <t>Source</t>
  </si>
  <si>
    <t>Notes</t>
  </si>
  <si>
    <t>Total</t>
  </si>
  <si>
    <t>3.  Proposed action</t>
  </si>
  <si>
    <t>Others</t>
  </si>
  <si>
    <t>Salaries/ wages, and/or compensation paid to entity's owner or founding members</t>
  </si>
  <si>
    <t>Description</t>
  </si>
  <si>
    <t>Non-deductible management expenses allocated by the overseas entity</t>
  </si>
  <si>
    <t>Client name :</t>
  </si>
  <si>
    <t xml:space="preserve">Period end: </t>
  </si>
  <si>
    <t>Expenses of fixed assets not qualified for depreciation</t>
  </si>
  <si>
    <t>Other decremental adjustments of taxable income</t>
  </si>
  <si>
    <t>o</t>
  </si>
  <si>
    <t>Ref.</t>
  </si>
  <si>
    <t>Non-deductible A&amp;P expenses</t>
  </si>
  <si>
    <t>Type of enterprise:</t>
  </si>
  <si>
    <t>% of cap</t>
  </si>
  <si>
    <t>Est. date</t>
  </si>
  <si>
    <t>Newly established enterprises (&lt; 3 years)</t>
  </si>
  <si>
    <t>dd-mm-yy</t>
  </si>
  <si>
    <t>Invt certificate</t>
  </si>
  <si>
    <t>Other enterprises</t>
  </si>
  <si>
    <t>Manufacturing</t>
  </si>
  <si>
    <t>Trading</t>
  </si>
  <si>
    <t>A</t>
  </si>
  <si>
    <t>FS</t>
  </si>
  <si>
    <t>a=sum of (A1 to A5)</t>
  </si>
  <si>
    <t>Cost of good sold ("COGS")</t>
  </si>
  <si>
    <t>Selling expenses</t>
  </si>
  <si>
    <t>General and admin expenses</t>
  </si>
  <si>
    <t>Financial expenses</t>
  </si>
  <si>
    <t>Other expenses</t>
  </si>
  <si>
    <t>B</t>
  </si>
  <si>
    <t>Add the following items</t>
  </si>
  <si>
    <t>C</t>
  </si>
  <si>
    <t>Subtract the following items</t>
  </si>
  <si>
    <t>Non-deductible interest expenses</t>
  </si>
  <si>
    <t>Other adjustments</t>
  </si>
  <si>
    <t>D</t>
  </si>
  <si>
    <t>d=a+b-c</t>
  </si>
  <si>
    <t>E</t>
  </si>
  <si>
    <t>Note (2)</t>
  </si>
  <si>
    <t>e=d*10% or 15%</t>
  </si>
  <si>
    <t>F</t>
  </si>
  <si>
    <t>f</t>
  </si>
  <si>
    <t>G</t>
  </si>
  <si>
    <t>Note (3)</t>
  </si>
  <si>
    <t>g=f-e (only if f &gt; e)</t>
  </si>
  <si>
    <t>a</t>
  </si>
  <si>
    <t>b</t>
  </si>
  <si>
    <t>Non-deductible per-diem allowances</t>
  </si>
  <si>
    <t>B/S</t>
  </si>
  <si>
    <t>P/L</t>
  </si>
  <si>
    <t>(Unit: VND)</t>
  </si>
  <si>
    <t>Note</t>
  </si>
  <si>
    <t>Per books</t>
  </si>
  <si>
    <t>c=sum of (C1 to C13)</t>
  </si>
  <si>
    <t>II</t>
  </si>
  <si>
    <t>[1]</t>
  </si>
  <si>
    <t>[2]</t>
  </si>
  <si>
    <t>[4]</t>
  </si>
  <si>
    <t>[5]</t>
  </si>
  <si>
    <t>[6]</t>
  </si>
  <si>
    <t>[7]</t>
  </si>
  <si>
    <t>[3]</t>
  </si>
  <si>
    <t>Staff welfare</t>
  </si>
  <si>
    <t>Gifts</t>
  </si>
  <si>
    <t>Donation</t>
  </si>
  <si>
    <t>Employment expenses without legitimate supporting documents</t>
  </si>
  <si>
    <t>[a]</t>
  </si>
  <si>
    <t>[b]</t>
  </si>
  <si>
    <t>[c]</t>
  </si>
  <si>
    <t>[d]</t>
  </si>
  <si>
    <t>[e]=[d]*[b]/[c]</t>
  </si>
  <si>
    <t>[f]=[a]-[e]</t>
  </si>
  <si>
    <t>Item B2 - Incremental adjustment of taxable revenue</t>
  </si>
  <si>
    <t>Quantity</t>
  </si>
  <si>
    <t>NRV</t>
  </si>
  <si>
    <t>[5]=[3]*[4]</t>
  </si>
  <si>
    <t>1.  Approach guidance:</t>
  </si>
  <si>
    <t>1.  Approach guidance</t>
  </si>
  <si>
    <t>Expenses without legitimate invoices per KPMG's sample check</t>
  </si>
  <si>
    <t>Benefits provided to staff's dependants</t>
  </si>
  <si>
    <t>(e.g. labour contracts, collective labour agreement, internal labour rules, internal decision, payment receipts, etc.)</t>
  </si>
  <si>
    <t>Non-deductible accruals</t>
  </si>
  <si>
    <t>Total management expenses incurred by the offshore parent company during the year</t>
  </si>
  <si>
    <t>Deductible management expenses allocated by the parent company</t>
  </si>
  <si>
    <t>A&amp;P expenses subject to statutory cap)</t>
  </si>
  <si>
    <t>income for CIT purposes</t>
  </si>
  <si>
    <t>CALCULATION OF NON-DEDUCTIBLE A&amp;P EXPENSES</t>
  </si>
  <si>
    <t>Total expenses per audited F/S</t>
  </si>
  <si>
    <t>1. Investment in securities</t>
  </si>
  <si>
    <t>Approach guidance:</t>
  </si>
  <si>
    <t>provision</t>
  </si>
  <si>
    <t>of inventory</t>
  </si>
  <si>
    <t>of securities</t>
  </si>
  <si>
    <t>2. Long-term financial investments</t>
  </si>
  <si>
    <t>financial investment</t>
  </si>
  <si>
    <t>Description of</t>
  </si>
  <si>
    <t>taxable income for CIT purposes</t>
  </si>
  <si>
    <t>Value</t>
  </si>
  <si>
    <t>Non-deductible</t>
  </si>
  <si>
    <t>amount</t>
  </si>
  <si>
    <t/>
  </si>
  <si>
    <t>Estimated</t>
  </si>
  <si>
    <t xml:space="preserve"> selling price</t>
  </si>
  <si>
    <t>Historical</t>
  </si>
  <si>
    <t>cost</t>
  </si>
  <si>
    <t>production cost</t>
  </si>
  <si>
    <t>selling cost</t>
  </si>
  <si>
    <t>[8]=[5]-[6]-[7]</t>
  </si>
  <si>
    <t>[9]=[3]*([4]-[8])</t>
  </si>
  <si>
    <t>Allowable</t>
  </si>
  <si>
    <t>Compare (1) against (2):</t>
  </si>
  <si>
    <t>Allowable provision for devaluation of investment in securities</t>
  </si>
  <si>
    <t>2.1 Non-deductible provision for devaluation of investment in securities</t>
  </si>
  <si>
    <t>2.2 Non-deductible provisions for devaluation of long-term financial investment</t>
  </si>
  <si>
    <t>Ending balance of provision for devaluation of long-term financial investments at the year end</t>
  </si>
  <si>
    <t>Allowable provision for devaluation of long-term financial investment</t>
  </si>
  <si>
    <t xml:space="preserve"> - Perform the calculation of allowable provision for devaluation of investment in securities.</t>
  </si>
  <si>
    <t>Market</t>
  </si>
  <si>
    <t>price</t>
  </si>
  <si>
    <t xml:space="preserve"> - Obtain the Client's list of investment in securities, and check the legal ownership of the</t>
  </si>
  <si>
    <t xml:space="preserve">   Client's securities and whether the securities are freely traded in the market.</t>
  </si>
  <si>
    <t xml:space="preserve"> - Verify the historical cost and market price of the Client's securities.</t>
  </si>
  <si>
    <t>CALCULATION OF ALLOWABLE PROVISION</t>
  </si>
  <si>
    <t>[6]=[3]*([4]-(5)]</t>
  </si>
  <si>
    <t xml:space="preserve"> - Obtain the Client's list of long-term financial investments, and check the legal ownership</t>
  </si>
  <si>
    <t xml:space="preserve">   of the Client's long-term financial investments, and whether the invested entity is in loss</t>
  </si>
  <si>
    <t xml:space="preserve">   position (except for losses which have been pre-forecasted prior to investment)</t>
  </si>
  <si>
    <t xml:space="preserve"> - Perform the calculation of allowable provision for devaluation of long-term financial</t>
  </si>
  <si>
    <t xml:space="preserve">   investments.</t>
  </si>
  <si>
    <t>Actual</t>
  </si>
  <si>
    <t>capital contribution</t>
  </si>
  <si>
    <t>capital value</t>
  </si>
  <si>
    <t xml:space="preserve"> - Verify the actual capital contribution of all shareholders, and the actual value of the contributed</t>
  </si>
  <si>
    <t xml:space="preserve">   capital as at year end</t>
  </si>
  <si>
    <t>by the Client</t>
  </si>
  <si>
    <t>Capital contributed</t>
  </si>
  <si>
    <t>[6]=([3]-[4])*[5]/[3]</t>
  </si>
  <si>
    <t xml:space="preserve"> FOR DEVALUATION OF FINANCIAL INVESTMENTS</t>
  </si>
  <si>
    <t>of debt</t>
  </si>
  <si>
    <t>Debts with the aging period of 6 months or above, but less than 1 year</t>
  </si>
  <si>
    <t>Debts with the aging period of 1 year or above, but less than 2 years</t>
  </si>
  <si>
    <t>Debts with the aging period of 2 years or above, but less than 3 years</t>
  </si>
  <si>
    <t>Debts with the aging period of 3 years or above</t>
  </si>
  <si>
    <t>percentage</t>
  </si>
  <si>
    <t>FOR DOUBTFUL DEBT</t>
  </si>
  <si>
    <t>Ending balance of provision for doubtful debt</t>
  </si>
  <si>
    <t>Ending balance of provision for devaluation of investment in securities</t>
  </si>
  <si>
    <t>Allowable provision for doubtful debt</t>
  </si>
  <si>
    <t>Allowable provision for warranty</t>
  </si>
  <si>
    <t>FOR WARRANTY</t>
  </si>
  <si>
    <t>Capped provision</t>
  </si>
  <si>
    <t>Total value</t>
  </si>
  <si>
    <t>of overdue debt</t>
  </si>
  <si>
    <t>of sales revenue</t>
  </si>
  <si>
    <t>per contract</t>
  </si>
  <si>
    <t>Applicable</t>
  </si>
  <si>
    <t>warranty percentage</t>
  </si>
  <si>
    <t>Warranty %</t>
  </si>
  <si>
    <t>of warranty</t>
  </si>
  <si>
    <t>[6]=[3]*[5]</t>
  </si>
  <si>
    <t>Capped per-diem allowance for CIT purposes</t>
  </si>
  <si>
    <t>Total per-diem allowance charged to P/L</t>
  </si>
  <si>
    <t>Non-deductible per-diem allowance for CIT purposes</t>
  </si>
  <si>
    <t>Capped staff uniform allowance for CIT purposes</t>
  </si>
  <si>
    <t>Total staff uniform allowance charged to P/L</t>
  </si>
  <si>
    <t>Non-deductible staff uniform allowance for CIT purposes</t>
  </si>
  <si>
    <t>of this year for CIT purposes</t>
  </si>
  <si>
    <t>year for CIT purposes</t>
  </si>
  <si>
    <t>Non-creditable input VAT</t>
  </si>
  <si>
    <t>Unrealised foreign exchange gain due to revaluation of accounts other than "payable accounts"</t>
  </si>
  <si>
    <t>CALCULATION OF "OTHER" TAXABLE INCOME</t>
  </si>
  <si>
    <t>Non-deductible interest expenses related to offshore loans which are not registered with SBV</t>
  </si>
  <si>
    <t>The total adjustment value presented in this worksheet must be posted to Item B5 of the CIT return.</t>
  </si>
  <si>
    <t>Foreign tax payments</t>
  </si>
  <si>
    <t>The total adjustment value presented in this worksheet must be posted to Item B3 of the CIT return.</t>
  </si>
  <si>
    <t>Item B3 - Expenses relevant to decremental adjustment of taxable revenue</t>
  </si>
  <si>
    <t>Work done</t>
  </si>
  <si>
    <t>Item B5 - Foreign tax payment</t>
  </si>
  <si>
    <t>Item B4.1 - Non-deductible depreciation expenses</t>
  </si>
  <si>
    <t>B11</t>
  </si>
  <si>
    <t>B3</t>
  </si>
  <si>
    <t>Non-deductible expenses when determining taxable income</t>
  </si>
  <si>
    <t>B4</t>
  </si>
  <si>
    <t>B6</t>
  </si>
  <si>
    <t xml:space="preserve">Client name: </t>
  </si>
  <si>
    <t>Account</t>
  </si>
  <si>
    <t xml:space="preserve">Ref </t>
  </si>
  <si>
    <t>Debit</t>
  </si>
  <si>
    <t>Credit</t>
  </si>
  <si>
    <t>Net amount</t>
  </si>
  <si>
    <t>The total adjustment value presented in this worksheet will be posted to Item B6 of the CIT return.</t>
  </si>
  <si>
    <t>I</t>
  </si>
  <si>
    <t>Summary of detailed adjustments for CIT calculation</t>
  </si>
  <si>
    <t>USD/VND</t>
  </si>
  <si>
    <t>Code</t>
  </si>
  <si>
    <t>USD</t>
  </si>
  <si>
    <t>VND</t>
  </si>
  <si>
    <t>Profit/(loss) before tax and adjustment</t>
  </si>
  <si>
    <t>A1</t>
  </si>
  <si>
    <t>Adjustments</t>
  </si>
  <si>
    <t>Incremental adjustment of taxable income</t>
  </si>
  <si>
    <t>B1</t>
  </si>
  <si>
    <t>Incremental adjustments of taxable revenue</t>
  </si>
  <si>
    <t>B2</t>
  </si>
  <si>
    <t>Expenses relevant to decremental adjustments of taxable revenue</t>
  </si>
  <si>
    <t>B4.1</t>
  </si>
  <si>
    <t>Expenses without invoices</t>
  </si>
  <si>
    <t>B4.3</t>
  </si>
  <si>
    <t>B4.5</t>
  </si>
  <si>
    <t>B4.6</t>
  </si>
  <si>
    <t>B4.7</t>
  </si>
  <si>
    <t>B4.8</t>
  </si>
  <si>
    <t>B4.9</t>
  </si>
  <si>
    <t>Foreign tax payment for income generated overseas</t>
  </si>
  <si>
    <t>B5</t>
  </si>
  <si>
    <t>Decremental adjustment of taxable income</t>
  </si>
  <si>
    <t>B7</t>
  </si>
  <si>
    <t>B8</t>
  </si>
  <si>
    <t>Deduction of revenue taxed in the previous year</t>
  </si>
  <si>
    <t>B9</t>
  </si>
  <si>
    <t>Expenses relevant to incremental adjustment of taxable revenue</t>
  </si>
  <si>
    <t>B10</t>
  </si>
  <si>
    <t>Other decremental adjustment to taxable income</t>
  </si>
  <si>
    <t>B11.1</t>
  </si>
  <si>
    <t>B11.2</t>
  </si>
  <si>
    <t>Taxable income after adjustments</t>
  </si>
  <si>
    <t>B12</t>
  </si>
  <si>
    <t>B4.2</t>
  </si>
  <si>
    <t>Collection of backtaxes and penalties</t>
  </si>
  <si>
    <t>B4.4</t>
  </si>
  <si>
    <t>B4.10</t>
  </si>
  <si>
    <t>3.10</t>
  </si>
  <si>
    <t>current year for CIT purposes</t>
  </si>
  <si>
    <t>- If the revenue on FS is lower than those of VAT declaration, please clarify to make incremental adjustments (if any)</t>
  </si>
  <si>
    <t>Obtain the VAT declaration to sum up with the total revenue declared therein to determine</t>
  </si>
  <si>
    <t xml:space="preserve">If NOT, sales deductions will not be deductible and be added back to the revenue for CIT purposes </t>
  </si>
  <si>
    <t>Comments</t>
  </si>
  <si>
    <t>Item B6 - Other incremental adjustments of taxable income</t>
  </si>
  <si>
    <t>Check if the Client has notified the "reasonable" consumption levels of its raw materials, fuel, power and goods</t>
  </si>
  <si>
    <t>WP-B8</t>
  </si>
  <si>
    <t>its rergistered and actual business activities</t>
  </si>
  <si>
    <t>The total value presented in this worksheet must be posted to Item B8 of the CIT finalisation return.</t>
  </si>
  <si>
    <t>WP-B9</t>
  </si>
  <si>
    <t>Item B8 -  Income not subject to CIT</t>
  </si>
  <si>
    <t>Item B9 - Reduction of revenue recognised in the previous fiscal year</t>
  </si>
  <si>
    <t>If answer to Point 1.1 is YES, include the same amount into Item B9 of the CIT finalisation return</t>
  </si>
  <si>
    <t>The total value presented in this worksheet must be posted to Item B9 of the CIT finalisation return.</t>
  </si>
  <si>
    <t>WP-B10</t>
  </si>
  <si>
    <t>Item B10 -  Expenses related to incremental adjustment of taxable revenue</t>
  </si>
  <si>
    <t>B11.1 -  Unrealised foreign exchange gain</t>
  </si>
  <si>
    <t>Item B11 - Other decremental adjustments of taxable income</t>
  </si>
  <si>
    <t>WP-B11.1</t>
  </si>
  <si>
    <t xml:space="preserve">its "account payables" denominated in foreign currencies in the current year.  If YES, </t>
  </si>
  <si>
    <t>B11.2 -  Other decremental adjustments of taxable income</t>
  </si>
  <si>
    <t>Expenses related to decremental revenue of this year</t>
  </si>
  <si>
    <t>Non-deductible administrative penalties</t>
  </si>
  <si>
    <t>Note (1)</t>
  </si>
  <si>
    <t>3.9</t>
  </si>
  <si>
    <t>Other non-deductible depreciation expenses</t>
  </si>
  <si>
    <t>(Hints: Please note that some accruals may be recorded under payables</t>
  </si>
  <si>
    <t>Company name:</t>
  </si>
  <si>
    <t>Re-classify the Company's A&amp;P expenses into various categories (i.e. fully-deductible A&amp;P expenses, and</t>
  </si>
  <si>
    <t>Calculate the Company's capped A&amp;P expenses, and compare it against the Company's A&amp;P expenses</t>
  </si>
  <si>
    <t>which are subject to the above cap, and add back the exceeding value into the Company's taxable</t>
  </si>
  <si>
    <t>b=sum of (B1 to B3)</t>
  </si>
  <si>
    <t>COGS (if the Company is a trading company)</t>
  </si>
  <si>
    <t>Expenses related to incremental adjustments of taxable revenue</t>
  </si>
  <si>
    <t>Accrued expenses excluded in previous year, but actually paid in current year</t>
  </si>
  <si>
    <t>Other decremental adjustments of deductible expenses in current year</t>
  </si>
  <si>
    <t>Expenses related to decremental adjustments of taxable revenue</t>
  </si>
  <si>
    <t>Other incremental adjustments of deductible expenses in current year</t>
  </si>
  <si>
    <t>B4 &amp; B6</t>
  </si>
  <si>
    <t>Base for calculating the capped A&amp;P expense</t>
  </si>
  <si>
    <t>Capped A&amp;P expenses</t>
  </si>
  <si>
    <t>Legitimate A&amp;P expenses subject to the statutory cap</t>
  </si>
  <si>
    <t xml:space="preserve">Company name: </t>
  </si>
  <si>
    <t>(1) This figure is extracted from the Company's CIT finalisation return of the previous year.</t>
  </si>
  <si>
    <t>(2) The percentage of statutory cap is set at 10% by default.  Please change it to 15% if the Company has been established for less than 3 years.</t>
  </si>
  <si>
    <t>(3) The non-deductible A&amp;P amount presented in this worksheet will be posted to the worksheet B4.10.</t>
  </si>
  <si>
    <t>Please provide further comments here (if any)</t>
  </si>
  <si>
    <t>Company name :</t>
  </si>
  <si>
    <t>Non-deductible staff uniform allowances</t>
  </si>
  <si>
    <t>of previous year for CIT purposes. If YES, determine and make relevant adjustment in the Company's deductible expenses</t>
  </si>
  <si>
    <t>of current year when the provision is actually realised in current year</t>
  </si>
  <si>
    <t>Allowable provision for obsolete inventory</t>
  </si>
  <si>
    <t>ownership certificates, securities valuation statement, etc.</t>
  </si>
  <si>
    <t>If (2) &lt; (1), the difference will be added back to the Company's taxable income for CIT purposes</t>
  </si>
  <si>
    <t>specifically including:</t>
  </si>
  <si>
    <t xml:space="preserve"> -  Long-term financial investments: whether ther are made in accordance with current regulations, and the invested entity</t>
  </si>
  <si>
    <t xml:space="preserve"> - Securities: whether they are legally invested by the Company in accordance with current regulations, and freely traded in</t>
  </si>
  <si>
    <t>is in loss position (please note that if the invested entity incurs losses which have been forecasted in its business plan prior to</t>
  </si>
  <si>
    <t>stock markets, and their market prices are less than their historical costs</t>
  </si>
  <si>
    <t>Check if the Company's provision for devaluation of financial investments satisfy the conditions provided in Circular 228,</t>
  </si>
  <si>
    <t>Review the detailed calculation of the Company's provision for devaluation of financial investments which are charged in</t>
  </si>
  <si>
    <t>investment, provision for devaluation of long-term financial investments is not allowed).</t>
  </si>
  <si>
    <t>Ending balance of provision for obsolete inventory</t>
  </si>
  <si>
    <t>If (2) &lt; (1), the difference will be compared with provision for obsolete inventory added back to taxable income in previous fiscal years</t>
  </si>
  <si>
    <t>Check if any of the Company's provision for devaluation of financial investments which was added back to its taxable income</t>
  </si>
  <si>
    <t>Check if the Company's provision for doubtful debt satisfy the conditions provided in Circular 228,</t>
  </si>
  <si>
    <t>or detention, or dies, etc.)</t>
  </si>
  <si>
    <t>Check if any of the Company's provision for doubtful debt which was added back to its taxable income</t>
  </si>
  <si>
    <t>Check if the Company's provision for warranty meet the conditions set in Circular 228 (i.e. the provision</t>
  </si>
  <si>
    <t>Review the detailed calculation of the Company's provision for warranty which are charged in</t>
  </si>
  <si>
    <t>Provision for warranty made and charged in the current year</t>
  </si>
  <si>
    <t xml:space="preserve">the notified "reasonable" consumption level.  If yes, add the non-deductible exceeding value into the Client's </t>
  </si>
  <si>
    <t>Per notification</t>
  </si>
  <si>
    <t>A separate calculation sheet is needed</t>
  </si>
  <si>
    <t>the revenue of its business activities not subject to CIT</t>
  </si>
  <si>
    <t>Review the Company's investment certificate and discuss with its management to undertand</t>
  </si>
  <si>
    <t>Determine if the Company has business activities which are not subject to CIT. If YES, quantify</t>
  </si>
  <si>
    <t>Obtain the Company's CIT finalisation return of the previous year and determine whether there is</t>
  </si>
  <si>
    <t>any of the Company's revenue which relates to current year, but was included in previous</t>
  </si>
  <si>
    <t>Check if there is any adjustment to the Company's taxable income at Item B2.  If YES, related expenses</t>
  </si>
  <si>
    <t>of that income must be included into the Company's deductible expenses of current year</t>
  </si>
  <si>
    <t>The total value presented in this worksheet must be posted to Item B10 of the CIT finalisation return.</t>
  </si>
  <si>
    <t>Prepare separate working papers for each adjustment items for this work paper</t>
  </si>
  <si>
    <t>The total adjustment value presented in this worksheet will be posted to Item B11 of the CIT return.</t>
  </si>
  <si>
    <t>Check if the Company recorded any unrealised foreign exchange gain due to revaluation of</t>
  </si>
  <si>
    <r>
      <t>include such amount into Item B11</t>
    </r>
    <r>
      <rPr>
        <sz val="10"/>
        <rFont val="Arial"/>
        <family val="2"/>
      </rPr>
      <t xml:space="preserve"> of the CIT finalisation return</t>
    </r>
  </si>
  <si>
    <t>The total adjustment value presented in this worksheet must be posted to Item B11 of the CIT return.</t>
  </si>
  <si>
    <t>Check if any of the Company's accruals which were added back to its taxable income of previous year for CIT purposes, but actually</t>
  </si>
  <si>
    <t>paid in current year. If YES, check if the accruals are relevant to the Company's registered business activities and supported</t>
  </si>
  <si>
    <r>
      <t xml:space="preserve">by legitimate invoices and supported documents. If YES, include the accrual in Item B11 </t>
    </r>
    <r>
      <rPr>
        <sz val="10"/>
        <color indexed="8"/>
        <rFont val="Arial"/>
        <family val="2"/>
      </rPr>
      <t>of the CIT finalisation return</t>
    </r>
  </si>
  <si>
    <t>Check if any of the Company's fixed assets are not qualified for depreciation purposes.  If YES, add its ending balance of previous year</t>
  </si>
  <si>
    <t>Check if any of the Company's input VAT is not cerditable and excluded following an tax audit or an adjustment to its VAT returns</t>
  </si>
  <si>
    <t>If YES, and the related purchases are relevant to the Company's registered business activities and supporting by legitimate invoices,</t>
  </si>
  <si>
    <t>include non-creditable input VAT into Item B11 of the CIT finalisation return</t>
  </si>
  <si>
    <t>Check if the Company has other decremental adjustments of its taxable income (i.e. realised provisions, etc.).</t>
  </si>
  <si>
    <t>If YES, include such adjustments into Item B11.2 of the CIT finalisation return.</t>
  </si>
  <si>
    <t>Fixed assets which are not qualilfied for depreciation purposes</t>
  </si>
  <si>
    <t>The total value presented in this worksheet must be posted to Item B11 of the CIT finalisation return.</t>
  </si>
  <si>
    <t>(List of "other" taxable income)</t>
  </si>
  <si>
    <t>The total adjustment value presented in this worksheet must be separated from taxable income of "main" business activities by being posted to Item B11</t>
  </si>
  <si>
    <t>of the CIT finalisation return.</t>
  </si>
  <si>
    <t>relates to goods and/or construction projects which are sold and/or delivered in current year, and guaranteed in related</t>
  </si>
  <si>
    <t>sales contracts, etc.)</t>
  </si>
  <si>
    <t>loan contract, other debt confirmation, etc.)</t>
  </si>
  <si>
    <t xml:space="preserve">Revenue from business activities that are qualified for tax exemption </t>
  </si>
  <si>
    <t>Reviewed</t>
  </si>
  <si>
    <t>(e.g. group policies or agreements on actual management services rendered, debit notes, etc.)</t>
  </si>
  <si>
    <t xml:space="preserve"> If YES, check if it has "other" taxable income as defined above and quantify the total amount of the Client's other taxable income
</t>
  </si>
  <si>
    <t xml:space="preserve">year for CIT purposes.  If YES, make the relevant incremental adjustment to the Company's taxable revenue of the </t>
  </si>
  <si>
    <t>Discuss with the Company's management and review its audited financial statements to understand</t>
  </si>
  <si>
    <t>is not in accordance with current tax regulations, and necessary adjustments should be made for CIT purposes</t>
  </si>
  <si>
    <t>Completed</t>
  </si>
  <si>
    <t>current CIT regulations</t>
  </si>
  <si>
    <t>- Sales of goods: Check sales contracts, purchase orders, invoices, delivery note</t>
  </si>
  <si>
    <t>- Provision of services: Check service contracts, invoices, notes of service completion</t>
  </si>
  <si>
    <t>Review the Company's sales deduction, and relevant supporting documents to determine whether they are deductible for CIT purposes</t>
  </si>
  <si>
    <t>- Commercial discount: check sales contracts, discount policies, VAT invoices</t>
  </si>
  <si>
    <t>- Sales returns: check minutes of sales return, VAT invoices, import documents (for exported goods only)</t>
  </si>
  <si>
    <t>Non-deductible sales deductions</t>
  </si>
  <si>
    <t>Under-declared taxable revenue</t>
  </si>
  <si>
    <t>Other adjustment (please specify)</t>
  </si>
  <si>
    <t>The total adjustment value presented in this worksheet must be posted to Item B2 of the CIT return.</t>
  </si>
  <si>
    <t>Review and determine if the Company's revenue of current year is decreased and included in Item B9</t>
  </si>
  <si>
    <t xml:space="preserve">If YES, request the Company to quantify expenses which are relevant to its decreased revenue </t>
  </si>
  <si>
    <t>Obtain the calculation of the Company's depreciation expenses of current year, and check if it is consistent with</t>
  </si>
  <si>
    <t>the total depreciation expense charged into the Company's P&amp;L. If NOT, check the reason of the difference</t>
  </si>
  <si>
    <t>Randomly check if any of the Company's fixed assets are NOT used for "business" purposes.</t>
  </si>
  <si>
    <t>If NOT, add back non-deductible depreciation expense into the Company's taxable income for CIT purposes</t>
  </si>
  <si>
    <t>Randomly check if any of the Company’s fixed assets are NOT legally owned (e.g. supported by legitimate</t>
  </si>
  <si>
    <t>invoices, ownership certificate, etc.).  If NOT, add back non-deductible depreciation expenses into the Company's</t>
  </si>
  <si>
    <t>Randomly check if depreciation expenses are correctly calculated and charged into the P&amp;L (i.e. correct useful</t>
  </si>
  <si>
    <t>under-claimed depreciation expenses into Item B11</t>
  </si>
  <si>
    <t>life, depreciation date, etc.). If NOT, add back over-claimed depreciation expenses into Item B4, and include</t>
  </si>
  <si>
    <t>Check if any of the Company's fixed assets are temporarily NOT is use.  If YES, they meet the following conditions:</t>
  </si>
  <si>
    <t>-  The interruption period must be less than 9 months in case of seasonal production</t>
  </si>
  <si>
    <t>If NOT, depreciation expenses related to those fixed assets will not be deductible and added back to the Company's</t>
  </si>
  <si>
    <t>Check if any of the Company's fixed assets are purchased and constructed using its loans. If YES,</t>
  </si>
  <si>
    <t>check if incurred loan interest has been capitalised into the historical costs of the related fixed assets until they</t>
  </si>
  <si>
    <t xml:space="preserve">Check if any of the Company's fixed assets were renovated, improved, or repaired during current year. If YES,  </t>
  </si>
  <si>
    <t>check how the costs of renovation, improvement or repair is correctly claimed for CIT purposes:</t>
  </si>
  <si>
    <t>- Costs of major renovation or improvement must be capitalised into historical costs of related fixed assets</t>
  </si>
  <si>
    <t>- Costs of repair must be fully charged in operating expenses of current year</t>
  </si>
  <si>
    <t>Obtain and check if there is any temporary adjustment to the Company's depreciation expenses in previous year.</t>
  </si>
  <si>
    <t>If YES, check if those adjustments should be claimed in current year for CIT purposes. If YES, include it</t>
  </si>
  <si>
    <t>into Item B11 for CIT purposes</t>
  </si>
  <si>
    <t xml:space="preserve">Check if the Company claims depreciation expenses in relation to its cars having 9 seats or less </t>
  </si>
  <si>
    <t>Fixed assets are not used for "business" purposes</t>
  </si>
  <si>
    <t>Fixed assets are not legally owned by the Company</t>
  </si>
  <si>
    <t>Depreciation expenses are not calculated in accordance with Circular 203</t>
  </si>
  <si>
    <t>Check if the Company obtains any medium or long-term loans from offshore institution/individuals. If YES,</t>
  </si>
  <si>
    <t xml:space="preserve">check if such loans are registered with local SBV. If NOT, add back related interest expenses into </t>
  </si>
  <si>
    <t>the Company's taxable income for CIT purposes</t>
  </si>
  <si>
    <t>Check if the Company has fully contributed its capital in accordance with its capital contribution schedule</t>
  </si>
  <si>
    <t xml:space="preserve">registered with relevant licensing authorities.  If NOT, add back interest expenses which correspond to the </t>
  </si>
  <si>
    <t>non-contributed capital amount into the Company's taxable income for CIT purposes</t>
  </si>
  <si>
    <t>Discuss with the Company's tax accountant to assess his/her understanding on Vietnamese regulations</t>
  </si>
  <si>
    <t>on legitimacy of invoices and supporting documents for accounting and tax purposes</t>
  </si>
  <si>
    <t>Obtain the list of expenses which are not supported by legitimate invoices/documents and</t>
  </si>
  <si>
    <t>self-assessed by the Company (if available), and check if the list is prepared in accordance with the current regulations</t>
  </si>
  <si>
    <t>Randomly check some of the Company's expense accounts to see if any of its expenses are NOT supported</t>
  </si>
  <si>
    <t>by legitimate invoices (if necessary)</t>
  </si>
  <si>
    <t>Expenses without legitimate invoices per self-assessment</t>
  </si>
  <si>
    <t>Non-deductible back taxes</t>
  </si>
  <si>
    <t>Check if the Company claims any penalties due to administrative violations in accounting, tax, etc.</t>
  </si>
  <si>
    <t>If YES, add such non-deductible penalties into the Company's taxable income for CIT purposes</t>
  </si>
  <si>
    <t>the year, and whether those amounts were claimed for CIT purposes.  If YES, seek final decision from</t>
  </si>
  <si>
    <t>the engagement manager on relevant adjustments of the back taxes for CIT purposes</t>
  </si>
  <si>
    <t>[Please include further comments for manager's attention and decision]</t>
  </si>
  <si>
    <t>on relevance of expenses for CIT purposes</t>
  </si>
  <si>
    <t>Obtain  the list of non-business expenses which are self-assessed by the Company (if available) and check if it</t>
  </si>
  <si>
    <t>is in accordance with current CIT regulations.</t>
  </si>
  <si>
    <t>Randomly check some of the Company's expense accounts to see if any of its expenses are NOT relevant</t>
  </si>
  <si>
    <t>to its registered business activities (if necessary)</t>
  </si>
  <si>
    <t>Obtain the Company's audited FS to determine its accrual balance at year-end</t>
  </si>
  <si>
    <t>Therefore, we should obtain clarification from Company's management and/or review relevant documents to get</t>
  </si>
  <si>
    <t>a full understanding of the Company's accounting treatment for its accruals)</t>
  </si>
  <si>
    <t>Obtain the Company's CIT return of previous year and determine if any of its accruals was added back</t>
  </si>
  <si>
    <t>to its taxable income of previous year.  If YES, check if those accruals were actually paid in curernt year,</t>
  </si>
  <si>
    <t>If YES, they must be included into the Company's deductible expenses of current year for CIT purposes</t>
  </si>
  <si>
    <t>Check if the Company claimed any management expenses allocated by its parent company. If YES, check if</t>
  </si>
  <si>
    <t>the Company is qualified as a PE of its parent company.  If NOT, the management expenses allocated will not be</t>
  </si>
  <si>
    <t>deductible and added back to the Company's taxable income for CIT purposes</t>
  </si>
  <si>
    <t>Total management expenses allocated by the offshore parent company and charged to the Company's P/L</t>
  </si>
  <si>
    <t>The Company's audited P/L, group policies or agreement on allocation of management expenses, and debit notes, etc.</t>
  </si>
  <si>
    <t>Total taxable turnover of the Company</t>
  </si>
  <si>
    <t>The Company's audited P/L after taking into account of tax adjustments (if any)</t>
  </si>
  <si>
    <t>Total turnover of the offshore parent company (including the taxable turnover of the Company in Vietnam)</t>
  </si>
  <si>
    <t>Check if the management expenses are valid and comply with FCT withholding on payment?</t>
  </si>
  <si>
    <t>If the answer to Point 1.2 is YES, check if the management expenses are based on "cost allocation" or</t>
  </si>
  <si>
    <t>supported by relevant supporting documents</t>
  </si>
  <si>
    <t>allocated to the Company (perform the calculation at Point 2 below)</t>
  </si>
  <si>
    <t>If the answer to Point 1.3 is YES, check if the management expenses are correctly calculated and</t>
  </si>
  <si>
    <t>Obtain the list of the Company's unrealised foreign exchange losses which was charged into its P&amp;L of</t>
  </si>
  <si>
    <t>Unrealised foreign exchange losses due to revaluation of accounts (other than payable accounts) denominated in foreign currency</t>
  </si>
  <si>
    <t>current year and broken down in types.  Check if any of the unrealised foreign exchange loss is incurred</t>
  </si>
  <si>
    <t>due to revaluation of accounts other than payable accounts.  If YES, add them back to the Company's</t>
  </si>
  <si>
    <t>registered business activities, and supported by legitimates invoices and supporting documents</t>
  </si>
  <si>
    <t>(e.g. contracts, notification of promotion programs to local trade authorities, etc.)</t>
  </si>
  <si>
    <t>Obtain a list of the Company's A&amp;P expenses and randomly check if they are relevant to the Company's</t>
  </si>
  <si>
    <t>income for CIT purposes (perform the calculation at WPB4.10.1)</t>
  </si>
  <si>
    <t>Total A&amp;P expenses subject to statutory cap (excluding non-legitimate A&amp;P expenses)</t>
  </si>
  <si>
    <t>SUMMARY OF A&amp;P EXPENSES SUBJECT TO STATUTORY CAP</t>
  </si>
  <si>
    <t xml:space="preserve">Check if the Company received any offshore income during the year,  If YES, obtain a breakdown of its </t>
  </si>
  <si>
    <t>offshore income, and check if the Company has made any offshore tax payments in relation to those offshore</t>
  </si>
  <si>
    <t>income, and claimed such foreign tax payments against its CIT payable in Vietnam</t>
  </si>
  <si>
    <t>If the answer to Item 1.1 above is YES, check if the Company's foreign tax payments has been</t>
  </si>
  <si>
    <t>included into the Company's taxable income for CIT purposes.  If NOT, include it into the Company's taxable</t>
  </si>
  <si>
    <t>Obtain from relevant information and documents (e.g. calculation of provisions), and prepare relevant working</t>
  </si>
  <si>
    <t>papers, and include non-deductible expenses into this sheet.</t>
  </si>
  <si>
    <t>The provision for severan allowance which was added back to the Company's taxable income of previous year, but actually realised in current year</t>
  </si>
  <si>
    <t>must be posted to WP-B11</t>
  </si>
  <si>
    <t>Discuss with the Company to understand its provision for obsolete inventory and relevant accounting policies</t>
  </si>
  <si>
    <t>applied when making such provision</t>
  </si>
  <si>
    <t xml:space="preserve">Check if the Company's provision for obsolete inventory is supported by legitimate supporting documents provided </t>
  </si>
  <si>
    <t>Check if the Company's provision for obsolete inventory charged in current year is made in accordance with</t>
  </si>
  <si>
    <t>Circular 228. If NOT, add back non-deductibe provision into the Company's taxable income for CIT purposes</t>
  </si>
  <si>
    <t>of previous year for CIT purposes. If YES, determine and make relevant adjustment in the Company's deductible</t>
  </si>
  <si>
    <t>CALCULATION OF ALLOWABLE PROVISION FOR OBSOLETE INVENTORY</t>
  </si>
  <si>
    <t>Discuss with the Company to understand about its provision for devaluation of financial investments and relevant</t>
  </si>
  <si>
    <t>accounting policies applied when make such provisions</t>
  </si>
  <si>
    <t>by Circular 228, specifically including:</t>
  </si>
  <si>
    <t xml:space="preserve"> - Decision on establishment of a committee in charge of making provision for obsolete inventory,</t>
  </si>
  <si>
    <t xml:space="preserve"> - Purchase contracts and invoices justifying the Company's legal ownership on the inventory</t>
  </si>
  <si>
    <t xml:space="preserve"> - Relevant documents justifying the realisable value of the Company's inventory)</t>
  </si>
  <si>
    <t xml:space="preserve"> - Decision on establishment of a committee in charge of making provision for devaluation of financial investments</t>
  </si>
  <si>
    <t xml:space="preserve"> - Supporting documents in case of securities: certificates of investment in securities, purchase contracts, securities</t>
  </si>
  <si>
    <t xml:space="preserve"> - Additional supporting documents in case of long-term financial investment: certificates of capital contribution,</t>
  </si>
  <si>
    <t>audited financial statements of the invested entity, etc.</t>
  </si>
  <si>
    <t>provided in Circular 228, specifically including:</t>
  </si>
  <si>
    <t xml:space="preserve">Check if the Company's provision for devaluation of financial investments is supported by legitimate supporting documents </t>
  </si>
  <si>
    <t>its P&amp;L of current year and check if it i made in accordance with Circular 228. If NOT, add non-deductibe provision</t>
  </si>
  <si>
    <t>Check if any of the Company's provision for obsolete inventory which was added back to its taxable income</t>
  </si>
  <si>
    <t>expenses of current year when the provision is actually realised in current year</t>
  </si>
  <si>
    <t>Discuss with the Company's tax accountant to understand about its provision for doubtful debts and relevant accounting</t>
  </si>
  <si>
    <t>policies applied when making such provisions</t>
  </si>
  <si>
    <t xml:space="preserve"> - Debts becomes doubtful or the debtor declares bankruptcy, dissolves, disappears, runs away, is subject to prosecution</t>
  </si>
  <si>
    <t>Check if the Company's provision for doubtful debt is supported by legitimate supporting documents provided in</t>
  </si>
  <si>
    <t>Circular 228 (e.g. sales contract, debt confirmation issued by the debtors, economic contracts</t>
  </si>
  <si>
    <t>Check if the detailed calculation of the Company's provision for doubtful debt which are charged in its P&amp;L of current</t>
  </si>
  <si>
    <t>year is made in accordance with Circular 228. If NOT, add non-deductible provision into the Company's taxable income</t>
  </si>
  <si>
    <t>Discuss with the Company to understand about its provision for warranty and relevant accounting policies</t>
  </si>
  <si>
    <t>Check if the Company's provision for warranty is supported by legitimate supporting documents</t>
  </si>
  <si>
    <t>(sales contracts, construction contracts, etc.)</t>
  </si>
  <si>
    <t>its P&amp;L of current year and check if it is made in accordance with Circular 228. If NOT, add non-deductible provision</t>
  </si>
  <si>
    <t xml:space="preserve">with local tax authorities within statutory deadline.  Obtain a copy of such notification for comparison </t>
  </si>
  <si>
    <t>If NOT, add back the excessive uniform allowance into the Company's taxable income for CIT purposes</t>
  </si>
  <si>
    <t>Check if the Company paid per diem allowance to its staff when travelling on business trips. If YES, check such payment</t>
  </si>
  <si>
    <t>is clealry stated in the Company's internal policies, and supported by legitimate supporting documents (e.g. receipts).</t>
  </si>
  <si>
    <t xml:space="preserve">If YES, check if the per-diem payment exceeds the statutory level.  If YES, add back the exceeding amount into the </t>
  </si>
  <si>
    <t>Company's taxable income for CIT purposes</t>
  </si>
  <si>
    <t>If the answer to Item 1.1 above is YES, check if the Client's cost of raw materials, fuel, power, goods exceed</t>
  </si>
  <si>
    <t>Expenses related to the incremental adjustment of taxable income</t>
  </si>
  <si>
    <t xml:space="preserve">Obtain a list of other income from client.  Check and determine if the Client is entitled to any CIT incentives. </t>
  </si>
  <si>
    <t>Obtain samples of the Company's payrolls (at least, 3 months per year) to understand its remuneration structure</t>
  </si>
  <si>
    <t>Obtain the Company's collective labour agreement, and samples of employment contracts (2 samples for each</t>
  </si>
  <si>
    <t>department, and check if any of employment items is not clearly stated in either the collective labour agreement</t>
  </si>
  <si>
    <t>or the employment contract. If YES, such employment expenses will not be deductible for CIT purposes</t>
  </si>
  <si>
    <t>Select at least two (2) local staff of each department, and 20% of the total number of the Company's expatriate</t>
  </si>
  <si>
    <t>employees and vouch their remuneration items (i.e. type, amount, etc.) to the above supporting documents</t>
  </si>
  <si>
    <t>If NOT, such employment expenses will not be deductible for CIT purposes</t>
  </si>
  <si>
    <t xml:space="preserve">Check with the Company's tax accountant on whether the Company makes provision for severance allowance </t>
  </si>
  <si>
    <t>Non-deductible contribution to management fund of the corporate's higher authorities</t>
  </si>
  <si>
    <t>The Company's audited P/L, group policies or agreement oncontribution, and debit notes, etc.</t>
  </si>
  <si>
    <t xml:space="preserve">by the parent company has been paid by the Company. If NOT, check if such accrued expenses have been </t>
  </si>
  <si>
    <r>
      <t xml:space="preserve">(Hints: please refer to the definition of a PE in </t>
    </r>
    <r>
      <rPr>
        <i/>
        <sz val="10"/>
        <color indexed="53"/>
        <rFont val="Arial"/>
        <family val="2"/>
      </rPr>
      <t>Circular 123</t>
    </r>
    <r>
      <rPr>
        <i/>
        <sz val="10"/>
        <rFont val="Arial"/>
        <family val="2"/>
      </rPr>
      <t xml:space="preserve"> for further information).</t>
    </r>
  </si>
  <si>
    <t>Check the actual payment for severance allowance made by the Company during the year (if any)</t>
  </si>
  <si>
    <t>P&amp;L, GL</t>
  </si>
  <si>
    <t>If the answer to Item 1.3 above is YES, check if the Client maintains proper supporting documents for the claimed expenses</t>
  </si>
  <si>
    <t>The parent company’s audited FS (normally consolidated FS)</t>
  </si>
  <si>
    <t xml:space="preserve">Check if the Client has recorded cost of goods which are destroyed due to their expiry into P/L.  </t>
  </si>
  <si>
    <t>If no, add the cost back to the Client's taxable income for CIT purposes</t>
  </si>
  <si>
    <t>If YES, please quantify the expense and add it back to the Company's taxable income for CIT purposes.</t>
  </si>
  <si>
    <t>Unrealised foreign exchange losses due to revaluation of payable accounts which are related to construction of unused fixed assets</t>
  </si>
  <si>
    <t xml:space="preserve">Discuss with the Company on whether there is any unrealised foreign exchange losses of payable accounts  </t>
  </si>
  <si>
    <t xml:space="preserve">relating to construction of fixed assets which has not completed or used for the Company's business activities. </t>
  </si>
  <si>
    <t>WP-B2</t>
  </si>
  <si>
    <t>- If the revenue on FS is higher than those of VAT declaration, please note the risk of under-declared VAT</t>
  </si>
  <si>
    <t>WP-B3</t>
  </si>
  <si>
    <t>and add back to the Company's taxable income of current year for CIT purposes.</t>
  </si>
  <si>
    <t>WP-B4.1</t>
  </si>
  <si>
    <t>are out in use.  If NOT, make relevant adjustments on the Company's operating expenses and depreciation expenses</t>
  </si>
  <si>
    <t>1.10</t>
  </si>
  <si>
    <t>Interview if the Company has registered the fixed asset depreciation method.</t>
  </si>
  <si>
    <t>1.11</t>
  </si>
  <si>
    <t xml:space="preserve">Review if the Company has disposal of fixed assets which are still under depreciation in the year. </t>
  </si>
  <si>
    <t>Inquire if supporting documents are proper.</t>
  </si>
  <si>
    <t xml:space="preserve"> </t>
  </si>
  <si>
    <t xml:space="preserve">Check and compare the value of loan agreements to the total balances of cash-in accounts </t>
  </si>
  <si>
    <t xml:space="preserve">and cash-at bank accounts as at the loan agreement date to assess whether the total amount equals to </t>
  </si>
  <si>
    <t xml:space="preserve">or exceeds the principal loan amount.  If yes, quantify the interest expense of such loan agreement for note </t>
  </si>
  <si>
    <t>Check whether the Company has free-interest loans to other entities while it has loan agreements with interest charges during the tax year.</t>
  </si>
  <si>
    <t xml:space="preserve">Interest expenses related loans which correspond to the non-contributed charter capital </t>
  </si>
  <si>
    <t>Other non-deductible interest expenses</t>
  </si>
  <si>
    <r>
      <t xml:space="preserve">Obtain and check minutes of tax audits and decision on </t>
    </r>
    <r>
      <rPr>
        <sz val="10"/>
        <color rgb="FFFF0000"/>
        <rFont val="Arial"/>
        <family val="2"/>
      </rPr>
      <t>collection of back taxes</t>
    </r>
    <r>
      <rPr>
        <sz val="10"/>
        <rFont val="Arial"/>
        <family val="2"/>
      </rPr>
      <t xml:space="preserve"> during </t>
    </r>
  </si>
  <si>
    <t>Non-deductible tax collection</t>
  </si>
  <si>
    <t>Interview the client to understand their accounting record relating to accruals</t>
  </si>
  <si>
    <t>[Please provide details explanation]</t>
  </si>
  <si>
    <t>are relevant to the Company's registered business activities, and supported by legitimate invoices/documents.</t>
  </si>
  <si>
    <t>If yes, the deemed interest income at the market rate should be taken into account for calculation of other income in WP-Other income or the interest of the loan</t>
  </si>
  <si>
    <t>WP-B4.2</t>
  </si>
  <si>
    <t>WP-B4.3</t>
  </si>
  <si>
    <t>WP-B4.4</t>
  </si>
  <si>
    <t>WP-B4.5</t>
  </si>
  <si>
    <t>WP-B4.6</t>
  </si>
  <si>
    <t>WP-B4.7</t>
  </si>
  <si>
    <t>WP-B4.9</t>
  </si>
  <si>
    <t>WP-B4.10</t>
  </si>
  <si>
    <t>WP-B5</t>
  </si>
  <si>
    <t>WP-B6</t>
  </si>
  <si>
    <t>WP-B6.2</t>
  </si>
  <si>
    <t>WP-B11</t>
  </si>
  <si>
    <t>WP-B11.2</t>
  </si>
  <si>
    <t>Other Income</t>
  </si>
  <si>
    <r>
      <t>-  The interruption period must be less than 12 months in case of</t>
    </r>
    <r>
      <rPr>
        <sz val="10"/>
        <color rgb="FF00B050"/>
        <rFont val="Arial"/>
        <family val="2"/>
      </rPr>
      <t xml:space="preserve"> relocation, periodical repairment, or maintenance</t>
    </r>
  </si>
  <si>
    <t>-  Supporting documents evidencing reasons of such interruption are sufficiently maintained</t>
  </si>
  <si>
    <t xml:space="preserve">from 1 January 2009 onwards, and its claimed depreciation expense corresponding to the historical cost exceeding </t>
  </si>
  <si>
    <t>VND1.6 billion/car.  If YES, add back the exceeding depreciation expenses into the Company's taxable income for CIT</t>
  </si>
  <si>
    <t>purposes</t>
  </si>
  <si>
    <t>The total adjustment value presented in this worksheet must be posted to Item B4 of the CIT return.</t>
  </si>
  <si>
    <t xml:space="preserve">Check if any of the Company's loans are obtained from individuals, and claim interest expenses on such loans. </t>
  </si>
  <si>
    <t xml:space="preserve">If YES, check if the applicable interest rate of such loans exceeds 1.5 times of the prime borrowing rate </t>
  </si>
  <si>
    <t>into the Company's taxable income for CIT purposes</t>
  </si>
  <si>
    <t xml:space="preserve">promulgated by SBV. If YES, add back non-deductible interest expenses which relates to the exceeding portion </t>
  </si>
  <si>
    <t>in the report. Please note that this is applicable to HCMC practice only.</t>
  </si>
  <si>
    <t>Item B4.3 - Non-deductible interest expenses</t>
  </si>
  <si>
    <t>Item B4.4 - Expenses without legitimate invoices</t>
  </si>
  <si>
    <t>WP B4.2 - Non-deductible cost of raw materials, materials, fuel, power, or goods</t>
  </si>
  <si>
    <t>Item B4.5 - Collection of penalties</t>
  </si>
  <si>
    <t>Item B4.6- Non-business expenses</t>
  </si>
  <si>
    <t>Item B4.7 - Employment related costs</t>
  </si>
  <si>
    <t>Item B4.8 - Accruals</t>
  </si>
  <si>
    <t>The total adjustment value presented in this worksheet will be posted to Item B4 of the CIT return.</t>
  </si>
  <si>
    <t>Item B4.10 - Management fees</t>
  </si>
  <si>
    <t xml:space="preserve">If the Company is a PE of its parent company, check if the management expenses allocated </t>
  </si>
  <si>
    <t>Item B4.11- Unrealised foreign exchange loss</t>
  </si>
  <si>
    <t>Item B4.12 - Advertisement and promotion (A&amp;P) expenses</t>
  </si>
  <si>
    <t>WP-B4.12.1</t>
  </si>
  <si>
    <t>WP-B4.12.2</t>
  </si>
  <si>
    <t>B4.12.2</t>
  </si>
  <si>
    <t>Item B4.9.1 -  Non-deductible provision for severance allowance</t>
  </si>
  <si>
    <t>If the payment is not paid in accordance with current regulations, the amount is non deductible expense</t>
  </si>
  <si>
    <t>Payment for severance allowance not in accordance with current regulations</t>
  </si>
  <si>
    <t>The non-deductible provision for severance allowance must be posted to WP-B4.9</t>
  </si>
  <si>
    <t>WP-B4.9.1</t>
  </si>
  <si>
    <t>WP-B4.9.2</t>
  </si>
  <si>
    <t>Item B4.9.2 -  Non-deductible provision for obsolete inventory</t>
  </si>
  <si>
    <t>WP-B4.9.2 (a)</t>
  </si>
  <si>
    <t>(complete WP-B4.9.2a)</t>
  </si>
  <si>
    <t>WP-B4.9.2a</t>
  </si>
  <si>
    <t>WP-B4.9.3</t>
  </si>
  <si>
    <t>Item B4.9.3 -  Non-deductible provision for devaluation of financial investments</t>
  </si>
  <si>
    <t>WP-B4.9.3a</t>
  </si>
  <si>
    <t>into the Company's taxable income for CIT purposes (complete WP-B4.9.3a)</t>
  </si>
  <si>
    <t>If (2) &gt; or = (1), no adjustment is required for CIT purposes</t>
  </si>
  <si>
    <t>WP-B4.9.4</t>
  </si>
  <si>
    <t>Item B4.9.4 -  Non-deductible provision for doubtful debts</t>
  </si>
  <si>
    <t>WP-B4.9.4a</t>
  </si>
  <si>
    <t>of current year for CIT purposes (complete WP-B4.9.4a)</t>
  </si>
  <si>
    <t>WP-B4.9.5a</t>
  </si>
  <si>
    <t>Item B4.9.5 -  Non-deductible provision for warranty</t>
  </si>
  <si>
    <t>for warranty into the Company's taxable income for CIT purposes (complete WP-B4.9.5a)</t>
  </si>
  <si>
    <t>The above non-deductible costs of raw materials, fuel, power, and goods must be posted to Item B4 of the CIT return</t>
  </si>
  <si>
    <t>B4.9.1</t>
  </si>
  <si>
    <t>B4.9.2</t>
  </si>
  <si>
    <t>B4.9.3</t>
  </si>
  <si>
    <t>B4.9.4</t>
  </si>
  <si>
    <t>B4.9.5</t>
  </si>
  <si>
    <t>WP-B6.1</t>
  </si>
  <si>
    <t>WP B6.1 - Non-deductible staff uniform allowance</t>
  </si>
  <si>
    <t>The non-deductible staff uniform allowance must be posted to Item B6 of the CIT return</t>
  </si>
  <si>
    <t>WP B6.2 - Non-deductible per diem allowance</t>
  </si>
  <si>
    <t xml:space="preserve"> The non-deductible per diem allowance must be posted to Item B6 of the CIT return.</t>
  </si>
  <si>
    <t>Non-deductible interest expenses related to loans obtained from individuals and its interest rate exceeds 1.5 times of the prime borrowing rate announced by SBV</t>
  </si>
  <si>
    <t>WP-B4.8</t>
  </si>
  <si>
    <t>Non-deductible provision for obsolete inventory</t>
  </si>
  <si>
    <t>Non-deductible provision for severance allowance</t>
  </si>
  <si>
    <t>Non-deductible provision for loss from financial investment</t>
  </si>
  <si>
    <t>Non-deductible provision for bad debts</t>
  </si>
  <si>
    <t>Non-deductible provision for warranties</t>
  </si>
  <si>
    <t>Item B4.9 - Non-deductible provisional expenses</t>
  </si>
  <si>
    <t>Non-deductible cost of raw materials, materials, fuel, power, or goods</t>
  </si>
  <si>
    <t>Non-deductible provisional expenses</t>
  </si>
  <si>
    <t>Non-deductible employment related costs</t>
  </si>
  <si>
    <t>Non-deductible accrued expenses</t>
  </si>
  <si>
    <t>Non-deductible unrealised foreign exchange loss</t>
  </si>
  <si>
    <t>1. Summary of non-deductible provisional expenses</t>
  </si>
  <si>
    <t>Provision for severance allowance made during the year</t>
  </si>
  <si>
    <t>The non-deductible provision for obsolete inventory must be posted to B4.9</t>
  </si>
  <si>
    <t>Total non-deductible provisional expenses</t>
  </si>
  <si>
    <t>The above non-deductible provision for obsolete inventory must be posted to B4.9</t>
  </si>
  <si>
    <t>The above non-deductible provision for doubtful debt must be posted to B4.9</t>
  </si>
  <si>
    <t>WP-B4.9.5</t>
  </si>
  <si>
    <t>The above non-deductible provision for warranty must be posted to B4.9</t>
  </si>
  <si>
    <t>Non-deductible management fee</t>
  </si>
  <si>
    <t>added back to the Company's taxable income under Item B4.8. If YES, no further adjustment is required</t>
  </si>
  <si>
    <t>WP-B4.11</t>
  </si>
  <si>
    <t>B4.11</t>
  </si>
  <si>
    <t>B4.12</t>
  </si>
  <si>
    <t>B6.1</t>
  </si>
  <si>
    <t>B6.2</t>
  </si>
  <si>
    <t>xxx</t>
  </si>
  <si>
    <t>in item B11 of the CIT finalisation return</t>
  </si>
  <si>
    <t>Non-taxable unrealised foreign exchange gain</t>
  </si>
  <si>
    <t>Non-deductible depreciation expense</t>
  </si>
  <si>
    <t>Non-business expenses</t>
  </si>
  <si>
    <t>Non-deductible advertisement and promotion (A&amp;P) expenses</t>
  </si>
  <si>
    <t>Check if the Company provides uniform allowance to staff.  If YES, check if the uniform allowance is within statutory cap.</t>
  </si>
  <si>
    <t>Non-deductible staff uniform allowance</t>
  </si>
  <si>
    <t>Non-taxable unrealised foreign exchange gains</t>
  </si>
  <si>
    <t>Accrual/provisional expenses which were excluded in previous tax year, but actually paid/reverted/utilised in current tax year</t>
  </si>
  <si>
    <r>
      <t xml:space="preserve">its accounting policies on </t>
    </r>
    <r>
      <rPr>
        <b/>
        <sz val="10"/>
        <color rgb="FFFF0000"/>
        <rFont val="Arial"/>
        <family val="2"/>
      </rPr>
      <t xml:space="preserve">sales recognition.  </t>
    </r>
    <r>
      <rPr>
        <sz val="10"/>
        <rFont val="Arial"/>
        <family val="2"/>
      </rPr>
      <t>Determine if the Company's accounting policies on its sales recognition</t>
    </r>
  </si>
  <si>
    <r>
      <t xml:space="preserve">Check relevant </t>
    </r>
    <r>
      <rPr>
        <b/>
        <sz val="10"/>
        <color rgb="FFFF0000"/>
        <rFont val="Arial"/>
        <family val="2"/>
      </rPr>
      <t>supporting documents (</t>
    </r>
    <r>
      <rPr>
        <sz val="10"/>
        <rFont val="Arial"/>
        <family val="2"/>
      </rPr>
      <t>on a sampling basis) whether the Company's sales is recognised in accordance with</t>
    </r>
  </si>
  <si>
    <r>
      <t xml:space="preserve">Discuss with the Company's management and review its </t>
    </r>
    <r>
      <rPr>
        <b/>
        <sz val="10"/>
        <color rgb="FFFF0000"/>
        <rFont val="Arial"/>
        <family val="2"/>
      </rPr>
      <t>CIT finalisation return</t>
    </r>
    <r>
      <rPr>
        <sz val="10"/>
        <rFont val="Arial"/>
        <family val="2"/>
      </rPr>
      <t xml:space="preserve"> and relevant adjustments of the </t>
    </r>
  </si>
  <si>
    <r>
      <rPr>
        <b/>
        <sz val="10"/>
        <color rgb="FFFF0000"/>
        <rFont val="Arial"/>
        <family val="2"/>
      </rPr>
      <t>previous year</t>
    </r>
    <r>
      <rPr>
        <sz val="10"/>
        <rFont val="Arial"/>
        <family val="2"/>
      </rPr>
      <t xml:space="preserve"> to determine whether any sales of the pervious year was decreased and will be included in the current</t>
    </r>
  </si>
</sst>
</file>

<file path=xl/styles.xml><?xml version="1.0" encoding="utf-8"?>
<styleSheet xmlns="http://schemas.openxmlformats.org/spreadsheetml/2006/main">
  <numFmts count="6">
    <numFmt numFmtId="164" formatCode="_(* #,##0_);_(* \(#,##0\);_(* &quot;-&quot;_);_(@_)"/>
    <numFmt numFmtId="165" formatCode="_(* #,##0.00_);_(* \(#,##0.00\);_(* &quot;-&quot;??_);_(@_)"/>
    <numFmt numFmtId="166" formatCode="_(* #,##0_);_(* \(#,##0\);_(* &quot;-&quot;??_);_(@_)"/>
    <numFmt numFmtId="167" formatCode="yyyy/mm/dd"/>
    <numFmt numFmtId="168" formatCode="#,###.00;\-#,###.00;&quot;&quot;"/>
    <numFmt numFmtId="169" formatCode="#,###;\-#,###;&quot;&quot;"/>
  </numFmts>
  <fonts count="60">
    <font>
      <sz val="11"/>
      <color theme="1"/>
      <name val="Calibri"/>
      <family val="2"/>
      <scheme val="minor"/>
    </font>
    <font>
      <sz val="11"/>
      <name val="KPMG Logo"/>
    </font>
    <font>
      <b/>
      <sz val="10"/>
      <name val="Arial"/>
      <family val="2"/>
    </font>
    <font>
      <b/>
      <sz val="10"/>
      <color indexed="10"/>
      <name val="Arial"/>
      <family val="2"/>
    </font>
    <font>
      <b/>
      <sz val="12"/>
      <name val="Arial"/>
      <family val="2"/>
    </font>
    <font>
      <b/>
      <u/>
      <sz val="10"/>
      <name val="Arial"/>
      <family val="2"/>
    </font>
    <font>
      <i/>
      <sz val="10"/>
      <name val="Arial"/>
      <family val="2"/>
    </font>
    <font>
      <i/>
      <u/>
      <sz val="10"/>
      <name val="Arial"/>
      <family val="2"/>
    </font>
    <font>
      <sz val="10"/>
      <name val="Arial"/>
      <family val="2"/>
    </font>
    <font>
      <sz val="10"/>
      <name val="Arial"/>
      <family val="2"/>
    </font>
    <font>
      <b/>
      <sz val="10"/>
      <color indexed="9"/>
      <name val="Arial"/>
      <family val="2"/>
    </font>
    <font>
      <sz val="8"/>
      <name val="Arial"/>
      <family val="2"/>
    </font>
    <font>
      <u/>
      <sz val="10"/>
      <name val="Arial"/>
      <family val="2"/>
    </font>
    <font>
      <b/>
      <i/>
      <u/>
      <sz val="10"/>
      <name val="Arial"/>
      <family val="2"/>
    </font>
    <font>
      <sz val="12"/>
      <name val="Arial"/>
      <family val="2"/>
    </font>
    <font>
      <b/>
      <i/>
      <sz val="10"/>
      <name val="Arial"/>
      <family val="2"/>
    </font>
    <font>
      <b/>
      <sz val="10"/>
      <name val="Wingdings"/>
      <charset val="2"/>
    </font>
    <font>
      <sz val="10"/>
      <name val="Wingdings"/>
      <charset val="2"/>
    </font>
    <font>
      <sz val="11"/>
      <name val="Times New Roman"/>
      <family val="1"/>
    </font>
    <font>
      <sz val="10"/>
      <color indexed="8"/>
      <name val="Arial"/>
      <family val="2"/>
    </font>
    <font>
      <b/>
      <sz val="11"/>
      <name val="Times New Roman"/>
      <family val="1"/>
    </font>
    <font>
      <sz val="9"/>
      <name val="Arial"/>
      <family val="2"/>
    </font>
    <font>
      <sz val="11"/>
      <name val="Arial"/>
      <family val="2"/>
    </font>
    <font>
      <b/>
      <sz val="11"/>
      <name val="Arial"/>
      <family val="2"/>
    </font>
    <font>
      <sz val="10"/>
      <color indexed="8"/>
      <name val="Arial"/>
      <family val="2"/>
    </font>
    <font>
      <sz val="12"/>
      <name val="新細明體"/>
      <family val="1"/>
      <charset val="136"/>
    </font>
    <font>
      <sz val="10"/>
      <name val="VNI-Centur"/>
    </font>
    <font>
      <sz val="10"/>
      <color indexed="8"/>
      <name val="MS Sans Serif"/>
      <family val="2"/>
    </font>
    <font>
      <sz val="10"/>
      <color indexed="9"/>
      <name val="Arial"/>
      <family val="2"/>
    </font>
    <font>
      <i/>
      <sz val="10"/>
      <color indexed="53"/>
      <name val="Arial"/>
      <family val="2"/>
    </font>
    <font>
      <sz val="11"/>
      <color theme="1"/>
      <name val="Calibri"/>
      <family val="2"/>
      <scheme val="minor"/>
    </font>
    <font>
      <b/>
      <sz val="11"/>
      <color theme="1"/>
      <name val="Calibri"/>
      <family val="2"/>
      <scheme val="minor"/>
    </font>
    <font>
      <sz val="11"/>
      <color rgb="FFFF0000"/>
      <name val="Calibri"/>
      <family val="2"/>
      <scheme val="minor"/>
    </font>
    <font>
      <sz val="10"/>
      <color theme="1"/>
      <name val="Arial"/>
      <family val="2"/>
    </font>
    <font>
      <sz val="10"/>
      <color theme="1"/>
      <name val="Calibri"/>
      <family val="2"/>
      <scheme val="minor"/>
    </font>
    <font>
      <i/>
      <sz val="11"/>
      <color theme="1"/>
      <name val="Calibri"/>
      <family val="2"/>
      <scheme val="minor"/>
    </font>
    <font>
      <b/>
      <sz val="12"/>
      <color theme="1"/>
      <name val="Cambria"/>
      <family val="1"/>
      <scheme val="major"/>
    </font>
    <font>
      <b/>
      <sz val="12"/>
      <name val="Cambria"/>
      <family val="1"/>
      <scheme val="major"/>
    </font>
    <font>
      <b/>
      <sz val="10"/>
      <color theme="1"/>
      <name val="Arial"/>
      <family val="2"/>
    </font>
    <font>
      <b/>
      <sz val="10"/>
      <color theme="0"/>
      <name val="Arial"/>
      <family val="2"/>
    </font>
    <font>
      <sz val="9"/>
      <color theme="0"/>
      <name val="Arial"/>
      <family val="2"/>
    </font>
    <font>
      <sz val="10"/>
      <color theme="0"/>
      <name val="Arial"/>
      <family val="2"/>
    </font>
    <font>
      <i/>
      <sz val="10"/>
      <color theme="1"/>
      <name val="Arial"/>
      <family val="2"/>
    </font>
    <font>
      <sz val="10"/>
      <color rgb="FFFF0000"/>
      <name val="Arial"/>
      <family val="2"/>
    </font>
    <font>
      <strike/>
      <sz val="10"/>
      <color rgb="FFFF0000"/>
      <name val="Arial"/>
      <family val="2"/>
    </font>
    <font>
      <sz val="11"/>
      <name val="Calibri"/>
      <family val="2"/>
      <scheme val="minor"/>
    </font>
    <font>
      <b/>
      <sz val="11"/>
      <name val="Calibri"/>
      <family val="2"/>
      <scheme val="minor"/>
    </font>
    <font>
      <i/>
      <sz val="10"/>
      <color rgb="FFFF0000"/>
      <name val="Arial"/>
      <family val="2"/>
    </font>
    <font>
      <sz val="10"/>
      <color theme="9" tint="-0.249977111117893"/>
      <name val="Arial"/>
      <family val="2"/>
    </font>
    <font>
      <sz val="10"/>
      <color rgb="FFC00000"/>
      <name val="Arial"/>
      <family val="2"/>
    </font>
    <font>
      <i/>
      <sz val="10"/>
      <color rgb="FFC00000"/>
      <name val="Arial"/>
      <family val="2"/>
    </font>
    <font>
      <b/>
      <sz val="10"/>
      <color rgb="FFC00000"/>
      <name val="Wingdings"/>
      <charset val="2"/>
    </font>
    <font>
      <b/>
      <sz val="11"/>
      <color rgb="FFFF0000"/>
      <name val="Calibri"/>
      <family val="2"/>
      <scheme val="minor"/>
    </font>
    <font>
      <sz val="10"/>
      <color rgb="FF00B050"/>
      <name val="Arial"/>
      <family val="2"/>
    </font>
    <font>
      <sz val="11"/>
      <color rgb="FF00B050"/>
      <name val="Calibri"/>
      <family val="2"/>
      <scheme val="minor"/>
    </font>
    <font>
      <sz val="10"/>
      <color rgb="FF00B050"/>
      <name val="Wingdings"/>
      <charset val="2"/>
    </font>
    <font>
      <i/>
      <sz val="10"/>
      <color rgb="FF00B050"/>
      <name val="Arial"/>
      <family val="2"/>
    </font>
    <font>
      <i/>
      <u/>
      <sz val="10"/>
      <color rgb="FF00B050"/>
      <name val="Arial"/>
      <family val="2"/>
    </font>
    <font>
      <b/>
      <sz val="10"/>
      <color theme="9" tint="-0.249977111117893"/>
      <name val="Arial"/>
      <family val="2"/>
    </font>
    <font>
      <b/>
      <sz val="10"/>
      <color rgb="FFFF0000"/>
      <name val="Arial"/>
      <family val="2"/>
    </font>
  </fonts>
  <fills count="16">
    <fill>
      <patternFill patternType="none"/>
    </fill>
    <fill>
      <patternFill patternType="gray125"/>
    </fill>
    <fill>
      <patternFill patternType="solid">
        <fgColor indexed="8"/>
        <bgColor indexed="64"/>
      </patternFill>
    </fill>
    <fill>
      <patternFill patternType="solid">
        <fgColor indexed="9"/>
        <bgColor indexed="64"/>
      </patternFill>
    </fill>
    <fill>
      <patternFill patternType="solid">
        <fgColor indexed="18"/>
        <bgColor indexed="64"/>
      </patternFill>
    </fill>
    <fill>
      <patternFill patternType="solid">
        <fgColor indexed="31"/>
        <bgColor indexed="64"/>
      </patternFill>
    </fill>
    <fill>
      <patternFill patternType="solid">
        <fgColor indexed="9"/>
      </patternFill>
    </fill>
    <fill>
      <patternFill patternType="solid">
        <fgColor indexed="9"/>
        <bgColor indexed="8"/>
      </patternFill>
    </fill>
    <fill>
      <patternFill patternType="solid">
        <fgColor indexed="22"/>
        <bgColor indexed="64"/>
      </patternFill>
    </fill>
    <fill>
      <patternFill patternType="solid">
        <fgColor indexed="42"/>
        <bgColor indexed="64"/>
      </patternFill>
    </fill>
    <fill>
      <patternFill patternType="solid">
        <fgColor theme="1"/>
        <bgColor indexed="64"/>
      </patternFill>
    </fill>
    <fill>
      <patternFill patternType="solid">
        <fgColor rgb="FF000066"/>
        <bgColor indexed="64"/>
      </patternFill>
    </fill>
    <fill>
      <patternFill patternType="solid">
        <fgColor theme="3" tint="0.79998168889431442"/>
        <bgColor indexed="64"/>
      </patternFill>
    </fill>
    <fill>
      <patternFill patternType="solid">
        <fgColor rgb="FFC5D9F1"/>
        <bgColor indexed="64"/>
      </patternFill>
    </fill>
    <fill>
      <patternFill patternType="solid">
        <fgColor theme="0"/>
        <bgColor indexed="64"/>
      </patternFill>
    </fill>
    <fill>
      <patternFill patternType="solid">
        <fgColor theme="0" tint="-0.14999847407452621"/>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hair">
        <color indexed="64"/>
      </top>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style="hair">
        <color indexed="64"/>
      </bottom>
      <diagonal/>
    </border>
    <border>
      <left style="thin">
        <color indexed="64"/>
      </left>
      <right/>
      <top style="hair">
        <color indexed="64"/>
      </top>
      <bottom style="thin">
        <color indexed="64"/>
      </bottom>
      <diagonal/>
    </border>
    <border>
      <left style="thin">
        <color indexed="64"/>
      </left>
      <right/>
      <top style="hair">
        <color indexed="64"/>
      </top>
      <bottom style="hair">
        <color indexed="64"/>
      </bottom>
      <diagonal/>
    </border>
    <border>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style="hair">
        <color indexed="64"/>
      </top>
      <bottom/>
      <diagonal/>
    </border>
    <border>
      <left/>
      <right style="thin">
        <color indexed="64"/>
      </right>
      <top style="hair">
        <color indexed="64"/>
      </top>
      <bottom/>
      <diagonal/>
    </border>
    <border>
      <left style="thin">
        <color indexed="64"/>
      </left>
      <right style="thin">
        <color indexed="64"/>
      </right>
      <top style="thin">
        <color indexed="64"/>
      </top>
      <bottom style="hair">
        <color indexed="64"/>
      </bottom>
      <diagonal/>
    </border>
    <border>
      <left/>
      <right style="thin">
        <color indexed="64"/>
      </right>
      <top style="thin">
        <color indexed="64"/>
      </top>
      <bottom style="hair">
        <color indexed="64"/>
      </bottom>
      <diagonal/>
    </border>
    <border>
      <left/>
      <right style="thin">
        <color indexed="64"/>
      </right>
      <top style="hair">
        <color indexed="64"/>
      </top>
      <bottom style="thin">
        <color indexed="64"/>
      </bottom>
      <diagonal/>
    </border>
    <border>
      <left/>
      <right style="thin">
        <color indexed="64"/>
      </right>
      <top style="hair">
        <color indexed="64"/>
      </top>
      <bottom style="hair">
        <color indexed="64"/>
      </bottom>
      <diagonal/>
    </border>
    <border>
      <left style="thin">
        <color indexed="64"/>
      </left>
      <right/>
      <top/>
      <bottom style="hair">
        <color indexed="64"/>
      </bottom>
      <diagonal/>
    </border>
    <border>
      <left/>
      <right/>
      <top style="thin">
        <color indexed="64"/>
      </top>
      <bottom/>
      <diagonal/>
    </border>
    <border>
      <left/>
      <right/>
      <top/>
      <bottom style="thin">
        <color indexed="64"/>
      </bottom>
      <diagonal/>
    </border>
  </borders>
  <cellStyleXfs count="11">
    <xf numFmtId="0" fontId="0" fillId="0" borderId="0"/>
    <xf numFmtId="165" fontId="30" fillId="0" borderId="0" applyFont="0" applyFill="0" applyBorder="0" applyAlignment="0" applyProtection="0"/>
    <xf numFmtId="165" fontId="8" fillId="0" borderId="0" applyFont="0" applyFill="0" applyBorder="0" applyAlignment="0" applyProtection="0"/>
    <xf numFmtId="165" fontId="30" fillId="0" borderId="0" applyFont="0" applyFill="0" applyBorder="0" applyAlignment="0" applyProtection="0"/>
    <xf numFmtId="165" fontId="26" fillId="0" borderId="0" applyFont="0" applyFill="0" applyBorder="0" applyAlignment="0" applyProtection="0"/>
    <xf numFmtId="0" fontId="8" fillId="0" borderId="0"/>
    <xf numFmtId="0" fontId="24" fillId="0" borderId="0"/>
    <xf numFmtId="0" fontId="27" fillId="0" borderId="0"/>
    <xf numFmtId="0" fontId="8" fillId="0" borderId="0"/>
    <xf numFmtId="0" fontId="25" fillId="0" borderId="0">
      <alignment vertical="center"/>
    </xf>
    <xf numFmtId="0" fontId="24" fillId="0" borderId="0"/>
  </cellStyleXfs>
  <cellXfs count="680">
    <xf numFmtId="0" fontId="0" fillId="0" borderId="0" xfId="0"/>
    <xf numFmtId="0" fontId="1" fillId="0" borderId="0" xfId="0" applyFont="1"/>
    <xf numFmtId="0" fontId="2" fillId="0" borderId="0" xfId="0" applyFont="1" applyAlignment="1">
      <alignment horizontal="center"/>
    </xf>
    <xf numFmtId="0" fontId="3" fillId="0" borderId="0" xfId="0" applyFont="1" applyAlignment="1">
      <alignment horizontal="right"/>
    </xf>
    <xf numFmtId="0" fontId="4" fillId="0" borderId="0" xfId="0" applyFont="1"/>
    <xf numFmtId="0" fontId="0" fillId="0" borderId="1" xfId="0" applyBorder="1"/>
    <xf numFmtId="0" fontId="0" fillId="0" borderId="1" xfId="0" applyBorder="1" applyAlignment="1">
      <alignment horizontal="center"/>
    </xf>
    <xf numFmtId="0" fontId="2" fillId="0" borderId="0" xfId="0" applyFont="1"/>
    <xf numFmtId="0" fontId="0" fillId="0" borderId="0" xfId="0" applyBorder="1"/>
    <xf numFmtId="0" fontId="5" fillId="0" borderId="0" xfId="0" applyFont="1"/>
    <xf numFmtId="0" fontId="6" fillId="0" borderId="0" xfId="0" applyFont="1" applyAlignment="1">
      <alignment horizontal="left"/>
    </xf>
    <xf numFmtId="0" fontId="7" fillId="0" borderId="0" xfId="0" applyFont="1"/>
    <xf numFmtId="0" fontId="0" fillId="0" borderId="0" xfId="0" quotePrefix="1" applyAlignment="1">
      <alignment horizontal="right"/>
    </xf>
    <xf numFmtId="0" fontId="10" fillId="2" borderId="1" xfId="0" applyFont="1" applyFill="1" applyBorder="1" applyAlignment="1">
      <alignment horizontal="center" vertical="center"/>
    </xf>
    <xf numFmtId="0" fontId="10" fillId="2" borderId="1" xfId="0" applyFont="1" applyFill="1" applyBorder="1" applyAlignment="1">
      <alignment horizontal="center" vertical="center" wrapText="1"/>
    </xf>
    <xf numFmtId="165" fontId="2" fillId="0" borderId="1" xfId="1" applyFont="1" applyBorder="1"/>
    <xf numFmtId="0" fontId="2" fillId="0" borderId="1" xfId="0" applyFont="1" applyBorder="1"/>
    <xf numFmtId="0" fontId="0" fillId="0" borderId="0" xfId="0" applyBorder="1" applyAlignment="1">
      <alignment horizontal="center"/>
    </xf>
    <xf numFmtId="0" fontId="2" fillId="0" borderId="0" xfId="0" applyFont="1" applyBorder="1" applyAlignment="1">
      <alignment horizontal="center"/>
    </xf>
    <xf numFmtId="0" fontId="2" fillId="0" borderId="0" xfId="0" applyFont="1" applyBorder="1"/>
    <xf numFmtId="0" fontId="11" fillId="0" borderId="0" xfId="0" applyFont="1"/>
    <xf numFmtId="0" fontId="9" fillId="0" borderId="0" xfId="0" applyFont="1"/>
    <xf numFmtId="0" fontId="0" fillId="0" borderId="0" xfId="0" quotePrefix="1" applyFont="1" applyAlignment="1">
      <alignment horizontal="right"/>
    </xf>
    <xf numFmtId="0" fontId="6" fillId="0" borderId="0" xfId="0" applyFont="1"/>
    <xf numFmtId="0" fontId="2" fillId="0" borderId="2" xfId="0" applyFont="1" applyBorder="1" applyAlignment="1">
      <alignment horizontal="center"/>
    </xf>
    <xf numFmtId="165" fontId="2" fillId="0" borderId="2" xfId="1" applyFont="1" applyBorder="1"/>
    <xf numFmtId="0" fontId="2" fillId="0" borderId="2" xfId="0" applyFont="1" applyBorder="1"/>
    <xf numFmtId="0" fontId="0" fillId="0" borderId="0" xfId="0" applyAlignment="1">
      <alignment horizontal="center"/>
    </xf>
    <xf numFmtId="0" fontId="10" fillId="2" borderId="1" xfId="0" applyFont="1" applyFill="1" applyBorder="1" applyAlignment="1">
      <alignment horizontal="center"/>
    </xf>
    <xf numFmtId="0" fontId="9" fillId="0" borderId="0" xfId="0" applyFont="1" applyAlignment="1">
      <alignment horizontal="center"/>
    </xf>
    <xf numFmtId="166" fontId="9" fillId="0" borderId="3" xfId="1" applyNumberFormat="1" applyFont="1" applyBorder="1"/>
    <xf numFmtId="166" fontId="9" fillId="0" borderId="4" xfId="1" applyNumberFormat="1" applyFont="1" applyBorder="1"/>
    <xf numFmtId="166" fontId="9" fillId="0" borderId="2" xfId="1" applyNumberFormat="1" applyFont="1" applyBorder="1"/>
    <xf numFmtId="0" fontId="0" fillId="0" borderId="0" xfId="0" applyFill="1"/>
    <xf numFmtId="0" fontId="15" fillId="0" borderId="0" xfId="0" applyFont="1" applyAlignment="1">
      <alignment horizontal="left"/>
    </xf>
    <xf numFmtId="0" fontId="16" fillId="0" borderId="0" xfId="0" applyFont="1" applyAlignment="1">
      <alignment horizontal="center"/>
    </xf>
    <xf numFmtId="0" fontId="9" fillId="0" borderId="0" xfId="0" applyFont="1" applyAlignment="1">
      <alignment horizontal="left"/>
    </xf>
    <xf numFmtId="0" fontId="17" fillId="0" borderId="0" xfId="0" applyFont="1" applyAlignment="1">
      <alignment horizontal="center" vertical="top"/>
    </xf>
    <xf numFmtId="0" fontId="2" fillId="3" borderId="0" xfId="0" applyFont="1" applyFill="1" applyAlignment="1">
      <alignment horizontal="center"/>
    </xf>
    <xf numFmtId="0" fontId="9" fillId="3" borderId="0" xfId="0" applyFont="1" applyFill="1"/>
    <xf numFmtId="0" fontId="2" fillId="3" borderId="1" xfId="0" applyFont="1" applyFill="1" applyBorder="1" applyAlignment="1">
      <alignment horizontal="center" vertical="center"/>
    </xf>
    <xf numFmtId="3" fontId="2" fillId="3" borderId="1" xfId="0" applyNumberFormat="1" applyFont="1" applyFill="1" applyBorder="1" applyAlignment="1">
      <alignment horizontal="left" vertical="center"/>
    </xf>
    <xf numFmtId="0" fontId="2" fillId="3" borderId="0" xfId="0" applyFont="1" applyFill="1"/>
    <xf numFmtId="0" fontId="18" fillId="3" borderId="0" xfId="0" applyFont="1" applyFill="1"/>
    <xf numFmtId="0" fontId="18" fillId="0" borderId="0" xfId="0" applyFont="1"/>
    <xf numFmtId="0" fontId="0" fillId="0" borderId="0" xfId="0" applyAlignment="1"/>
    <xf numFmtId="0" fontId="0" fillId="0" borderId="0" xfId="0" quotePrefix="1" applyAlignment="1">
      <alignment horizontal="center"/>
    </xf>
    <xf numFmtId="0" fontId="10" fillId="2" borderId="5" xfId="0" applyFont="1" applyFill="1" applyBorder="1" applyAlignment="1">
      <alignment horizontal="center" vertical="center"/>
    </xf>
    <xf numFmtId="0" fontId="10" fillId="2" borderId="5" xfId="0" applyFont="1" applyFill="1" applyBorder="1" applyAlignment="1">
      <alignment horizontal="center" vertical="center" wrapText="1"/>
    </xf>
    <xf numFmtId="3" fontId="10" fillId="2" borderId="5" xfId="0" applyNumberFormat="1" applyFont="1" applyFill="1" applyBorder="1" applyAlignment="1">
      <alignment horizontal="center" vertical="center"/>
    </xf>
    <xf numFmtId="0" fontId="0" fillId="0" borderId="1" xfId="0" applyBorder="1" applyAlignment="1">
      <alignment horizontal="center" vertical="center"/>
    </xf>
    <xf numFmtId="0" fontId="9" fillId="0" borderId="1" xfId="0" applyFont="1" applyBorder="1" applyAlignment="1">
      <alignment horizontal="center" vertical="center"/>
    </xf>
    <xf numFmtId="0" fontId="0" fillId="0" borderId="1" xfId="0" applyBorder="1" applyAlignment="1">
      <alignment vertical="center"/>
    </xf>
    <xf numFmtId="165" fontId="0" fillId="0" borderId="1" xfId="0" applyNumberFormat="1" applyBorder="1" applyAlignment="1">
      <alignment vertical="center"/>
    </xf>
    <xf numFmtId="0" fontId="18" fillId="0" borderId="0" xfId="0" applyFont="1" applyBorder="1"/>
    <xf numFmtId="0" fontId="0" fillId="0" borderId="0" xfId="0" applyBorder="1" applyAlignment="1">
      <alignment wrapText="1"/>
    </xf>
    <xf numFmtId="165" fontId="30" fillId="0" borderId="0" xfId="1" applyFont="1" applyBorder="1"/>
    <xf numFmtId="0" fontId="9" fillId="0" borderId="0" xfId="0" applyFont="1" applyBorder="1"/>
    <xf numFmtId="0" fontId="9" fillId="0" borderId="0" xfId="0" applyFont="1" applyFill="1"/>
    <xf numFmtId="0" fontId="14" fillId="0" borderId="0" xfId="0" applyFont="1" applyAlignment="1">
      <alignment horizontal="center"/>
    </xf>
    <xf numFmtId="0" fontId="9" fillId="0" borderId="0" xfId="0" applyFont="1" applyBorder="1" applyAlignment="1">
      <alignment horizontal="center" vertical="top"/>
    </xf>
    <xf numFmtId="165" fontId="0" fillId="0" borderId="0" xfId="0" applyNumberFormat="1" applyBorder="1"/>
    <xf numFmtId="0" fontId="0" fillId="0" borderId="1" xfId="0" applyBorder="1" applyAlignment="1">
      <alignment horizontal="center" vertical="top"/>
    </xf>
    <xf numFmtId="165" fontId="0" fillId="0" borderId="1" xfId="0" applyNumberFormat="1" applyBorder="1"/>
    <xf numFmtId="0" fontId="9" fillId="0" borderId="0" xfId="0" quotePrefix="1" applyFont="1"/>
    <xf numFmtId="0" fontId="6" fillId="0" borderId="0" xfId="0" applyFont="1" applyAlignment="1">
      <alignment horizontal="right"/>
    </xf>
    <xf numFmtId="0" fontId="10" fillId="2" borderId="6" xfId="0" applyFont="1" applyFill="1" applyBorder="1" applyAlignment="1">
      <alignment horizontal="center"/>
    </xf>
    <xf numFmtId="0" fontId="9" fillId="0" borderId="1" xfId="0" applyFont="1" applyFill="1" applyBorder="1" applyAlignment="1">
      <alignment horizontal="center"/>
    </xf>
    <xf numFmtId="0" fontId="9" fillId="0" borderId="1" xfId="0" applyFont="1" applyFill="1" applyBorder="1"/>
    <xf numFmtId="165" fontId="9" fillId="0" borderId="1" xfId="1" applyFont="1" applyFill="1" applyBorder="1"/>
    <xf numFmtId="165" fontId="9" fillId="0" borderId="6" xfId="1" applyFont="1" applyFill="1" applyBorder="1" applyAlignment="1">
      <alignment horizontal="center"/>
    </xf>
    <xf numFmtId="166" fontId="30" fillId="0" borderId="1" xfId="1" applyNumberFormat="1" applyFont="1" applyBorder="1" applyProtection="1">
      <protection hidden="1"/>
    </xf>
    <xf numFmtId="0" fontId="9" fillId="0" borderId="6" xfId="0" applyFont="1" applyFill="1" applyBorder="1" applyAlignment="1">
      <alignment horizontal="center"/>
    </xf>
    <xf numFmtId="0" fontId="2" fillId="0" borderId="0" xfId="0" applyFont="1" applyFill="1" applyBorder="1" applyAlignment="1">
      <alignment horizontal="center"/>
    </xf>
    <xf numFmtId="165" fontId="2" fillId="0" borderId="0" xfId="0" quotePrefix="1" applyNumberFormat="1" applyFont="1" applyFill="1" applyBorder="1" applyAlignment="1"/>
    <xf numFmtId="0" fontId="10" fillId="2" borderId="7" xfId="0" applyFont="1" applyFill="1" applyBorder="1" applyAlignment="1">
      <alignment horizontal="center"/>
    </xf>
    <xf numFmtId="166" fontId="9" fillId="0" borderId="1" xfId="1" applyNumberFormat="1" applyFont="1" applyBorder="1" applyAlignment="1">
      <alignment vertical="center"/>
    </xf>
    <xf numFmtId="0" fontId="9" fillId="0" borderId="1" xfId="0" applyFont="1" applyBorder="1" applyAlignment="1">
      <alignment vertical="center"/>
    </xf>
    <xf numFmtId="0" fontId="9" fillId="0" borderId="1" xfId="0" applyFont="1" applyBorder="1" applyAlignment="1">
      <alignment horizontal="center"/>
    </xf>
    <xf numFmtId="166" fontId="9" fillId="0" borderId="1" xfId="1" applyNumberFormat="1" applyFont="1" applyBorder="1"/>
    <xf numFmtId="0" fontId="9" fillId="0" borderId="1" xfId="0" applyFont="1" applyBorder="1"/>
    <xf numFmtId="166" fontId="9" fillId="0" borderId="1" xfId="1" applyNumberFormat="1" applyFont="1" applyBorder="1" applyAlignment="1">
      <alignment horizontal="center" vertical="top"/>
    </xf>
    <xf numFmtId="0" fontId="2" fillId="0" borderId="1" xfId="0" applyFont="1" applyBorder="1" applyAlignment="1">
      <alignment horizontal="center" vertical="center"/>
    </xf>
    <xf numFmtId="165" fontId="2" fillId="0" borderId="1" xfId="1" applyFont="1" applyBorder="1" applyAlignment="1">
      <alignment vertical="center"/>
    </xf>
    <xf numFmtId="0" fontId="2" fillId="0" borderId="1" xfId="0" applyFont="1" applyBorder="1" applyAlignment="1">
      <alignment vertical="center"/>
    </xf>
    <xf numFmtId="0" fontId="33" fillId="0" borderId="1" xfId="0" applyFont="1" applyBorder="1"/>
    <xf numFmtId="0" fontId="33" fillId="0" borderId="1" xfId="0" applyFont="1" applyBorder="1" applyAlignment="1">
      <alignment horizontal="center"/>
    </xf>
    <xf numFmtId="0" fontId="18" fillId="0" borderId="0" xfId="0" applyFont="1" applyFill="1"/>
    <xf numFmtId="0" fontId="9" fillId="0" borderId="8" xfId="0" applyFont="1" applyFill="1" applyBorder="1" applyAlignment="1">
      <alignment horizontal="center"/>
    </xf>
    <xf numFmtId="0" fontId="9" fillId="0" borderId="3" xfId="0" applyFont="1" applyFill="1" applyBorder="1" applyAlignment="1">
      <alignment horizontal="center"/>
    </xf>
    <xf numFmtId="0" fontId="34" fillId="0" borderId="0" xfId="0" applyFont="1"/>
    <xf numFmtId="0" fontId="34" fillId="0" borderId="1" xfId="0" applyFont="1" applyBorder="1" applyAlignment="1">
      <alignment horizontal="center"/>
    </xf>
    <xf numFmtId="0" fontId="34" fillId="0" borderId="0" xfId="0" applyFont="1" applyBorder="1" applyAlignment="1">
      <alignment horizontal="center"/>
    </xf>
    <xf numFmtId="0" fontId="34" fillId="0" borderId="0" xfId="0" applyFont="1" applyBorder="1"/>
    <xf numFmtId="0" fontId="33" fillId="0" borderId="3" xfId="0" applyFont="1" applyBorder="1" applyAlignment="1">
      <alignment horizontal="center"/>
    </xf>
    <xf numFmtId="0" fontId="33" fillId="0" borderId="0" xfId="0" applyFont="1"/>
    <xf numFmtId="0" fontId="6" fillId="0" borderId="0" xfId="0" quotePrefix="1" applyFont="1" applyAlignment="1">
      <alignment horizontal="right"/>
    </xf>
    <xf numFmtId="0" fontId="35" fillId="0" borderId="0" xfId="0" applyFont="1"/>
    <xf numFmtId="0" fontId="0" fillId="0" borderId="0" xfId="0" applyFont="1"/>
    <xf numFmtId="0" fontId="2" fillId="0" borderId="7" xfId="0" applyFont="1" applyBorder="1" applyAlignment="1"/>
    <xf numFmtId="0" fontId="33" fillId="0" borderId="2" xfId="0" applyFont="1" applyBorder="1" applyAlignment="1"/>
    <xf numFmtId="0" fontId="2" fillId="0" borderId="1" xfId="0" applyFont="1" applyBorder="1" applyAlignment="1"/>
    <xf numFmtId="0" fontId="33" fillId="0" borderId="2" xfId="0" applyFont="1" applyBorder="1" applyAlignment="1">
      <alignment horizontal="center" vertical="top"/>
    </xf>
    <xf numFmtId="0" fontId="33" fillId="0" borderId="2" xfId="0" applyFont="1" applyBorder="1" applyAlignment="1">
      <alignment horizontal="left"/>
    </xf>
    <xf numFmtId="0" fontId="33" fillId="0" borderId="2" xfId="0" applyFont="1" applyBorder="1" applyAlignment="1">
      <alignment horizontal="center"/>
    </xf>
    <xf numFmtId="0" fontId="33" fillId="0" borderId="0" xfId="0" quotePrefix="1" applyFont="1" applyAlignment="1">
      <alignment horizontal="right"/>
    </xf>
    <xf numFmtId="0" fontId="33" fillId="0" borderId="4" xfId="0" applyFont="1" applyBorder="1" applyAlignment="1">
      <alignment horizontal="center" vertical="top"/>
    </xf>
    <xf numFmtId="0" fontId="33" fillId="0" borderId="4" xfId="0" applyFont="1" applyBorder="1" applyAlignment="1">
      <alignment wrapText="1"/>
    </xf>
    <xf numFmtId="165" fontId="33" fillId="0" borderId="4" xfId="1" applyFont="1" applyBorder="1"/>
    <xf numFmtId="0" fontId="33" fillId="0" borderId="4" xfId="0" applyFont="1" applyBorder="1"/>
    <xf numFmtId="0" fontId="33" fillId="0" borderId="8" xfId="0" applyFont="1" applyBorder="1" applyAlignment="1">
      <alignment horizontal="center" vertical="top"/>
    </xf>
    <xf numFmtId="0" fontId="33" fillId="0" borderId="8" xfId="0" applyFont="1" applyBorder="1" applyAlignment="1">
      <alignment wrapText="1"/>
    </xf>
    <xf numFmtId="165" fontId="33" fillId="0" borderId="8" xfId="1" applyFont="1" applyBorder="1"/>
    <xf numFmtId="0" fontId="33" fillId="0" borderId="8" xfId="0" applyFont="1" applyBorder="1"/>
    <xf numFmtId="0" fontId="33" fillId="0" borderId="0" xfId="0" applyFont="1" applyBorder="1" applyAlignment="1">
      <alignment horizontal="center"/>
    </xf>
    <xf numFmtId="0" fontId="33" fillId="0" borderId="0" xfId="0" applyFont="1" applyBorder="1"/>
    <xf numFmtId="0" fontId="33" fillId="0" borderId="0" xfId="0" applyFont="1" applyAlignment="1">
      <alignment horizontal="center"/>
    </xf>
    <xf numFmtId="0" fontId="33" fillId="0" borderId="4" xfId="0" applyFont="1" applyBorder="1" applyAlignment="1">
      <alignment vertical="center"/>
    </xf>
    <xf numFmtId="0" fontId="33" fillId="0" borderId="2" xfId="0" applyFont="1" applyBorder="1" applyAlignment="1">
      <alignment wrapText="1"/>
    </xf>
    <xf numFmtId="165" fontId="33" fillId="0" borderId="2" xfId="1" applyFont="1" applyBorder="1"/>
    <xf numFmtId="0" fontId="33" fillId="0" borderId="2" xfId="0" applyFont="1" applyBorder="1"/>
    <xf numFmtId="0" fontId="33" fillId="0" borderId="9" xfId="0" applyFont="1" applyBorder="1" applyAlignment="1">
      <alignment wrapText="1"/>
    </xf>
    <xf numFmtId="0" fontId="33" fillId="0" borderId="9" xfId="0" applyFont="1" applyBorder="1"/>
    <xf numFmtId="0" fontId="17" fillId="0" borderId="0" xfId="0" applyFont="1" applyAlignment="1">
      <alignment horizontal="center"/>
    </xf>
    <xf numFmtId="0" fontId="33" fillId="0" borderId="3" xfId="0" applyFont="1" applyBorder="1"/>
    <xf numFmtId="165" fontId="33" fillId="0" borderId="3" xfId="1" applyFont="1" applyBorder="1"/>
    <xf numFmtId="0" fontId="33" fillId="0" borderId="3" xfId="0" applyFont="1" applyBorder="1" applyAlignment="1">
      <alignment wrapText="1"/>
    </xf>
    <xf numFmtId="0" fontId="33" fillId="0" borderId="1" xfId="0" applyFont="1" applyBorder="1" applyAlignment="1">
      <alignment horizontal="center" vertical="center"/>
    </xf>
    <xf numFmtId="0" fontId="33" fillId="0" borderId="1" xfId="0" applyFont="1" applyBorder="1" applyAlignment="1">
      <alignment vertical="center" wrapText="1"/>
    </xf>
    <xf numFmtId="165" fontId="33" fillId="0" borderId="1" xfId="1" applyFont="1" applyBorder="1" applyAlignment="1">
      <alignment vertical="center"/>
    </xf>
    <xf numFmtId="0" fontId="33" fillId="0" borderId="1" xfId="0" applyFont="1" applyBorder="1" applyAlignment="1">
      <alignment vertical="center"/>
    </xf>
    <xf numFmtId="165" fontId="33" fillId="0" borderId="1" xfId="0" applyNumberFormat="1" applyFont="1" applyBorder="1" applyAlignment="1">
      <alignment vertical="center"/>
    </xf>
    <xf numFmtId="0" fontId="0" fillId="0" borderId="0" xfId="0" applyFont="1" applyBorder="1"/>
    <xf numFmtId="0" fontId="2" fillId="0" borderId="0" xfId="0" applyFont="1" applyFill="1" applyAlignment="1">
      <alignment horizontal="center"/>
    </xf>
    <xf numFmtId="0" fontId="6" fillId="0" borderId="0" xfId="0" applyFont="1" applyFill="1"/>
    <xf numFmtId="0" fontId="16" fillId="0" borderId="0" xfId="0" applyFont="1" applyFill="1" applyAlignment="1">
      <alignment horizontal="center"/>
    </xf>
    <xf numFmtId="0" fontId="2" fillId="0" borderId="0" xfId="0" applyFont="1" applyAlignment="1">
      <alignment horizontal="right"/>
    </xf>
    <xf numFmtId="0" fontId="2" fillId="0" borderId="1" xfId="0" applyFont="1" applyBorder="1" applyAlignment="1">
      <alignment horizontal="center"/>
    </xf>
    <xf numFmtId="0" fontId="2" fillId="0" borderId="0" xfId="0" applyFont="1" applyAlignment="1"/>
    <xf numFmtId="0" fontId="9" fillId="0" borderId="0" xfId="0" applyFont="1" applyAlignment="1">
      <alignment horizontal="center" vertical="center"/>
    </xf>
    <xf numFmtId="0" fontId="16" fillId="0" borderId="0" xfId="0" applyFont="1" applyAlignment="1">
      <alignment horizontal="center" vertical="center"/>
    </xf>
    <xf numFmtId="166" fontId="33" fillId="0" borderId="3" xfId="1" applyNumberFormat="1" applyFont="1" applyBorder="1"/>
    <xf numFmtId="0" fontId="33" fillId="0" borderId="4" xfId="0" applyFont="1" applyBorder="1" applyAlignment="1">
      <alignment horizontal="center"/>
    </xf>
    <xf numFmtId="166" fontId="33" fillId="0" borderId="4" xfId="1" applyNumberFormat="1" applyFont="1" applyBorder="1"/>
    <xf numFmtId="166" fontId="33" fillId="0" borderId="2" xfId="1" applyNumberFormat="1" applyFont="1" applyBorder="1"/>
    <xf numFmtId="0" fontId="9" fillId="0" borderId="0" xfId="0" applyFont="1" applyFill="1" applyAlignment="1">
      <alignment horizontal="center" vertical="center"/>
    </xf>
    <xf numFmtId="0" fontId="33" fillId="0" borderId="0" xfId="0" applyFont="1" applyFill="1"/>
    <xf numFmtId="0" fontId="33" fillId="0" borderId="8" xfId="0" applyFont="1" applyBorder="1" applyAlignment="1">
      <alignment horizontal="center"/>
    </xf>
    <xf numFmtId="0" fontId="33" fillId="0" borderId="9" xfId="0" applyFont="1" applyBorder="1" applyAlignment="1">
      <alignment horizontal="center" vertical="center"/>
    </xf>
    <xf numFmtId="166" fontId="9" fillId="0" borderId="9" xfId="1" applyNumberFormat="1" applyFont="1" applyBorder="1"/>
    <xf numFmtId="0" fontId="33" fillId="0" borderId="1" xfId="0" applyFont="1" applyBorder="1" applyAlignment="1">
      <alignment horizontal="center" vertical="center" wrapText="1"/>
    </xf>
    <xf numFmtId="165" fontId="33" fillId="0" borderId="1" xfId="0" applyNumberFormat="1" applyFont="1" applyBorder="1" applyAlignment="1">
      <alignment horizontal="right" vertical="center"/>
    </xf>
    <xf numFmtId="49" fontId="33" fillId="0" borderId="1" xfId="0" applyNumberFormat="1" applyFont="1" applyBorder="1" applyAlignment="1">
      <alignment horizontal="center" vertical="center"/>
    </xf>
    <xf numFmtId="0" fontId="2" fillId="0" borderId="8" xfId="0" applyFont="1" applyBorder="1" applyAlignment="1">
      <alignment horizontal="center"/>
    </xf>
    <xf numFmtId="0" fontId="9" fillId="3" borderId="8" xfId="0" applyFont="1" applyFill="1" applyBorder="1" applyAlignment="1">
      <alignment horizontal="center"/>
    </xf>
    <xf numFmtId="0" fontId="9" fillId="0" borderId="4" xfId="0" applyFont="1" applyBorder="1" applyAlignment="1">
      <alignment horizontal="center"/>
    </xf>
    <xf numFmtId="0" fontId="21" fillId="3" borderId="0" xfId="0" applyFont="1" applyFill="1"/>
    <xf numFmtId="0" fontId="2" fillId="0" borderId="3" xfId="0" applyFont="1" applyBorder="1" applyAlignment="1">
      <alignment horizontal="center"/>
    </xf>
    <xf numFmtId="0" fontId="9" fillId="3" borderId="3" xfId="0" applyFont="1" applyFill="1" applyBorder="1" applyAlignment="1">
      <alignment horizontal="center"/>
    </xf>
    <xf numFmtId="0" fontId="36" fillId="0" borderId="0" xfId="0" applyFont="1"/>
    <xf numFmtId="0" fontId="37" fillId="0" borderId="0" xfId="0" applyFont="1" applyFill="1"/>
    <xf numFmtId="0" fontId="37" fillId="3" borderId="0" xfId="0" applyFont="1" applyFill="1"/>
    <xf numFmtId="0" fontId="8" fillId="0" borderId="0" xfId="0" applyFont="1"/>
    <xf numFmtId="0" fontId="12" fillId="0" borderId="0" xfId="0" applyFont="1"/>
    <xf numFmtId="0" fontId="8" fillId="0" borderId="0" xfId="0" applyFont="1" applyAlignment="1">
      <alignment horizontal="right"/>
    </xf>
    <xf numFmtId="0" fontId="38" fillId="0" borderId="0" xfId="0" applyFont="1" applyAlignment="1">
      <alignment horizontal="right"/>
    </xf>
    <xf numFmtId="0" fontId="33" fillId="0" borderId="1" xfId="0" applyFont="1" applyBorder="1" applyAlignment="1">
      <alignment horizontal="left"/>
    </xf>
    <xf numFmtId="0" fontId="33" fillId="0" borderId="10" xfId="0" applyFont="1" applyBorder="1" applyAlignment="1"/>
    <xf numFmtId="0" fontId="2" fillId="0" borderId="10" xfId="0" applyFont="1" applyBorder="1" applyAlignment="1"/>
    <xf numFmtId="0" fontId="10" fillId="0" borderId="10" xfId="0" applyFont="1" applyFill="1" applyBorder="1" applyAlignment="1">
      <alignment vertical="center"/>
    </xf>
    <xf numFmtId="0" fontId="0" fillId="0" borderId="0" xfId="0" applyAlignment="1">
      <alignment horizontal="left"/>
    </xf>
    <xf numFmtId="0" fontId="8" fillId="0" borderId="0" xfId="0" applyFont="1" applyAlignment="1">
      <alignment horizontal="left"/>
    </xf>
    <xf numFmtId="3" fontId="8" fillId="0" borderId="11" xfId="0" applyNumberFormat="1" applyFont="1" applyBorder="1" applyAlignment="1">
      <alignment vertical="center" wrapText="1"/>
    </xf>
    <xf numFmtId="3" fontId="8" fillId="3" borderId="3" xfId="0" applyNumberFormat="1" applyFont="1" applyFill="1" applyBorder="1" applyAlignment="1">
      <alignment horizontal="left" vertical="center"/>
    </xf>
    <xf numFmtId="3" fontId="8" fillId="3" borderId="4" xfId="0" applyNumberFormat="1" applyFont="1" applyFill="1" applyBorder="1" applyAlignment="1">
      <alignment horizontal="left" vertical="center"/>
    </xf>
    <xf numFmtId="3" fontId="8" fillId="3" borderId="2" xfId="0" applyNumberFormat="1" applyFont="1" applyFill="1" applyBorder="1" applyAlignment="1">
      <alignment horizontal="left" vertical="center"/>
    </xf>
    <xf numFmtId="3" fontId="8" fillId="3" borderId="2" xfId="0" applyNumberFormat="1" applyFont="1" applyFill="1" applyBorder="1" applyAlignment="1">
      <alignment horizontal="left" vertical="center" wrapText="1"/>
    </xf>
    <xf numFmtId="0" fontId="2" fillId="0" borderId="0" xfId="0" applyFont="1" applyAlignment="1">
      <alignment horizontal="left" vertical="top"/>
    </xf>
    <xf numFmtId="0" fontId="33" fillId="0" borderId="0" xfId="0" applyFont="1" applyBorder="1" applyAlignment="1"/>
    <xf numFmtId="0" fontId="4" fillId="0" borderId="0" xfId="0" applyFont="1" applyAlignment="1">
      <alignment horizontal="center"/>
    </xf>
    <xf numFmtId="0" fontId="10" fillId="2" borderId="12" xfId="0" applyFont="1" applyFill="1" applyBorder="1" applyAlignment="1">
      <alignment horizontal="center" vertical="center"/>
    </xf>
    <xf numFmtId="0" fontId="10" fillId="2" borderId="11" xfId="0" applyFont="1" applyFill="1" applyBorder="1" applyAlignment="1">
      <alignment horizontal="center" vertical="center"/>
    </xf>
    <xf numFmtId="0" fontId="8" fillId="0" borderId="0" xfId="0" applyFont="1" applyBorder="1"/>
    <xf numFmtId="0" fontId="10" fillId="2" borderId="6" xfId="0" applyFont="1" applyFill="1" applyBorder="1" applyAlignment="1">
      <alignment horizontal="center" vertical="center"/>
    </xf>
    <xf numFmtId="0" fontId="33" fillId="0" borderId="13" xfId="0" applyFont="1" applyBorder="1" applyAlignment="1">
      <alignment horizontal="center"/>
    </xf>
    <xf numFmtId="0" fontId="33" fillId="0" borderId="14" xfId="0" applyFont="1" applyBorder="1" applyAlignment="1">
      <alignment horizontal="center"/>
    </xf>
    <xf numFmtId="0" fontId="0" fillId="0" borderId="0" xfId="0" applyAlignment="1">
      <alignment horizontal="center" wrapText="1"/>
    </xf>
    <xf numFmtId="0" fontId="9" fillId="0" borderId="0" xfId="0" applyFont="1" applyAlignment="1">
      <alignment horizontal="left" wrapText="1"/>
    </xf>
    <xf numFmtId="0" fontId="8" fillId="0" borderId="0" xfId="0" applyFont="1" applyAlignment="1"/>
    <xf numFmtId="0" fontId="2" fillId="0" borderId="0" xfId="0" applyFont="1" applyFill="1" applyAlignment="1">
      <alignment horizontal="right"/>
    </xf>
    <xf numFmtId="0" fontId="17" fillId="0" borderId="0" xfId="0" applyFont="1" applyFill="1" applyAlignment="1">
      <alignment horizontal="center"/>
    </xf>
    <xf numFmtId="0" fontId="8" fillId="0" borderId="1" xfId="0" applyFont="1" applyBorder="1" applyAlignment="1">
      <alignment horizontal="center" vertical="center"/>
    </xf>
    <xf numFmtId="165" fontId="33" fillId="0" borderId="4" xfId="1" applyFont="1" applyBorder="1" applyAlignment="1">
      <alignment horizontal="center"/>
    </xf>
    <xf numFmtId="165" fontId="9" fillId="0" borderId="4" xfId="1" applyFont="1" applyFill="1" applyBorder="1" applyAlignment="1">
      <alignment horizontal="center"/>
    </xf>
    <xf numFmtId="165" fontId="9" fillId="3" borderId="4" xfId="1" applyFont="1" applyFill="1" applyBorder="1" applyAlignment="1">
      <alignment horizontal="center"/>
    </xf>
    <xf numFmtId="165" fontId="33" fillId="0" borderId="15" xfId="1" applyFont="1" applyBorder="1" applyAlignment="1">
      <alignment horizontal="center"/>
    </xf>
    <xf numFmtId="0" fontId="39" fillId="10" borderId="5" xfId="0" applyFont="1" applyFill="1" applyBorder="1" applyAlignment="1">
      <alignment horizontal="center" vertical="center" wrapText="1"/>
    </xf>
    <xf numFmtId="0" fontId="39" fillId="10" borderId="6" xfId="0" applyFont="1" applyFill="1" applyBorder="1" applyAlignment="1">
      <alignment horizontal="center" wrapText="1"/>
    </xf>
    <xf numFmtId="0" fontId="39" fillId="10" borderId="16" xfId="0" applyFont="1" applyFill="1" applyBorder="1" applyAlignment="1">
      <alignment horizontal="center" wrapText="1"/>
    </xf>
    <xf numFmtId="0" fontId="39" fillId="10" borderId="11" xfId="0" applyFont="1" applyFill="1" applyBorder="1" applyAlignment="1">
      <alignment horizontal="center" vertical="center" wrapText="1"/>
    </xf>
    <xf numFmtId="0" fontId="39" fillId="10" borderId="1" xfId="0" applyFont="1" applyFill="1" applyBorder="1" applyAlignment="1">
      <alignment horizontal="center" wrapText="1"/>
    </xf>
    <xf numFmtId="0" fontId="40" fillId="10" borderId="1" xfId="0" applyFont="1" applyFill="1" applyBorder="1" applyAlignment="1">
      <alignment horizontal="center"/>
    </xf>
    <xf numFmtId="0" fontId="39" fillId="10" borderId="6" xfId="0" applyFont="1" applyFill="1" applyBorder="1" applyAlignment="1">
      <alignment horizontal="center"/>
    </xf>
    <xf numFmtId="0" fontId="39" fillId="10" borderId="1" xfId="0" applyFont="1" applyFill="1" applyBorder="1" applyAlignment="1">
      <alignment horizontal="center"/>
    </xf>
    <xf numFmtId="0" fontId="41" fillId="10" borderId="1" xfId="0" applyFont="1" applyFill="1" applyBorder="1" applyAlignment="1">
      <alignment horizontal="center"/>
    </xf>
    <xf numFmtId="0" fontId="39" fillId="10" borderId="11" xfId="0" applyFont="1" applyFill="1" applyBorder="1" applyAlignment="1">
      <alignment horizontal="center" wrapText="1"/>
    </xf>
    <xf numFmtId="0" fontId="40" fillId="10" borderId="11" xfId="0" applyFont="1" applyFill="1" applyBorder="1" applyAlignment="1">
      <alignment horizontal="center"/>
    </xf>
    <xf numFmtId="0" fontId="39" fillId="10" borderId="17" xfId="0" applyFont="1" applyFill="1" applyBorder="1" applyAlignment="1">
      <alignment horizontal="center" wrapText="1"/>
    </xf>
    <xf numFmtId="0" fontId="39" fillId="10" borderId="12" xfId="0" applyFont="1" applyFill="1" applyBorder="1" applyAlignment="1">
      <alignment horizontal="center" wrapText="1"/>
    </xf>
    <xf numFmtId="0" fontId="39" fillId="10" borderId="18" xfId="0" applyFont="1" applyFill="1" applyBorder="1" applyAlignment="1">
      <alignment horizontal="center" wrapText="1"/>
    </xf>
    <xf numFmtId="0" fontId="39" fillId="10" borderId="6" xfId="0" applyFont="1" applyFill="1" applyBorder="1" applyAlignment="1">
      <alignment horizontal="center"/>
    </xf>
    <xf numFmtId="166" fontId="30" fillId="0" borderId="1" xfId="1" quotePrefix="1" applyNumberFormat="1" applyFont="1" applyBorder="1" applyProtection="1">
      <protection hidden="1"/>
    </xf>
    <xf numFmtId="0" fontId="8" fillId="0" borderId="1" xfId="0" applyFont="1" applyBorder="1" applyAlignment="1">
      <alignment wrapText="1"/>
    </xf>
    <xf numFmtId="165" fontId="9" fillId="0" borderId="4" xfId="0" applyNumberFormat="1" applyFont="1" applyFill="1" applyBorder="1" applyAlignment="1">
      <alignment horizontal="center"/>
    </xf>
    <xf numFmtId="0" fontId="9" fillId="0" borderId="4" xfId="1" applyNumberFormat="1" applyFont="1" applyFill="1" applyBorder="1" applyAlignment="1">
      <alignment horizontal="center"/>
    </xf>
    <xf numFmtId="0" fontId="33" fillId="0" borderId="4" xfId="0" applyFont="1" applyBorder="1" applyAlignment="1">
      <alignment horizontal="left" wrapText="1"/>
    </xf>
    <xf numFmtId="0" fontId="9" fillId="0" borderId="4" xfId="0" applyFont="1" applyBorder="1" applyAlignment="1">
      <alignment horizontal="center" vertical="center"/>
    </xf>
    <xf numFmtId="9" fontId="33" fillId="0" borderId="4" xfId="1" applyNumberFormat="1" applyFont="1" applyBorder="1" applyAlignment="1">
      <alignment horizontal="center"/>
    </xf>
    <xf numFmtId="165" fontId="41" fillId="10" borderId="1" xfId="0" applyNumberFormat="1" applyFont="1" applyFill="1" applyBorder="1" applyAlignment="1">
      <alignment horizontal="center"/>
    </xf>
    <xf numFmtId="0" fontId="33" fillId="0" borderId="0" xfId="0" applyFont="1" applyBorder="1" applyAlignment="1">
      <alignment horizontal="center" vertical="center"/>
    </xf>
    <xf numFmtId="0" fontId="33" fillId="0" borderId="0" xfId="0" applyFont="1" applyBorder="1" applyAlignment="1">
      <alignment vertical="center" wrapText="1"/>
    </xf>
    <xf numFmtId="165" fontId="33" fillId="0" borderId="0" xfId="0" applyNumberFormat="1" applyFont="1" applyBorder="1" applyAlignment="1">
      <alignment horizontal="right" vertical="center"/>
    </xf>
    <xf numFmtId="49" fontId="33" fillId="0" borderId="0" xfId="0" applyNumberFormat="1" applyFont="1" applyBorder="1" applyAlignment="1">
      <alignment horizontal="center" vertical="center"/>
    </xf>
    <xf numFmtId="165" fontId="33" fillId="0" borderId="1" xfId="0" applyNumberFormat="1" applyFont="1" applyBorder="1" applyAlignment="1">
      <alignment horizontal="center" vertical="center"/>
    </xf>
    <xf numFmtId="165" fontId="10" fillId="2" borderId="5" xfId="1" applyFont="1" applyFill="1" applyBorder="1" applyAlignment="1">
      <alignment horizontal="center" vertical="center"/>
    </xf>
    <xf numFmtId="0" fontId="8" fillId="0" borderId="1" xfId="0" applyFont="1" applyBorder="1" applyAlignment="1">
      <alignment vertical="center" wrapText="1"/>
    </xf>
    <xf numFmtId="0" fontId="9" fillId="0" borderId="8" xfId="0" applyFont="1" applyBorder="1" applyAlignment="1">
      <alignment horizontal="center" vertical="center"/>
    </xf>
    <xf numFmtId="0" fontId="33" fillId="0" borderId="8" xfId="0" applyFont="1" applyBorder="1" applyAlignment="1">
      <alignment horizontal="left" wrapText="1"/>
    </xf>
    <xf numFmtId="165" fontId="33" fillId="0" borderId="8" xfId="1" applyFont="1" applyBorder="1" applyAlignment="1">
      <alignment horizontal="center"/>
    </xf>
    <xf numFmtId="9" fontId="33" fillId="0" borderId="4" xfId="1" applyNumberFormat="1" applyFont="1" applyBorder="1" applyAlignment="1">
      <alignment horizontal="right"/>
    </xf>
    <xf numFmtId="0" fontId="13" fillId="0" borderId="0" xfId="0" applyFont="1"/>
    <xf numFmtId="0" fontId="17" fillId="0" borderId="0" xfId="0" applyFont="1" applyAlignment="1">
      <alignment horizontal="center" vertical="center"/>
    </xf>
    <xf numFmtId="0" fontId="33" fillId="0" borderId="19" xfId="0" applyFont="1" applyBorder="1" applyAlignment="1">
      <alignment horizontal="center"/>
    </xf>
    <xf numFmtId="0" fontId="33" fillId="0" borderId="20" xfId="0" applyFont="1" applyBorder="1" applyAlignment="1">
      <alignment horizontal="center"/>
    </xf>
    <xf numFmtId="0" fontId="33" fillId="0" borderId="3" xfId="0" applyFont="1" applyBorder="1" applyAlignment="1">
      <alignment horizontal="center" vertical="center"/>
    </xf>
    <xf numFmtId="0" fontId="33" fillId="0" borderId="4" xfId="0" applyFont="1" applyBorder="1" applyAlignment="1">
      <alignment horizontal="center" vertical="center"/>
    </xf>
    <xf numFmtId="0" fontId="33" fillId="0" borderId="8" xfId="0" applyFont="1" applyBorder="1" applyAlignment="1">
      <alignment horizontal="center" vertical="center"/>
    </xf>
    <xf numFmtId="0" fontId="33" fillId="0" borderId="14" xfId="0" applyFont="1" applyBorder="1" applyAlignment="1">
      <alignment wrapText="1"/>
    </xf>
    <xf numFmtId="0" fontId="33" fillId="0" borderId="6" xfId="0" applyFont="1" applyBorder="1" applyAlignment="1">
      <alignment wrapText="1"/>
    </xf>
    <xf numFmtId="0" fontId="33" fillId="0" borderId="10" xfId="0" applyFont="1" applyFill="1" applyBorder="1" applyAlignment="1">
      <alignment wrapText="1"/>
    </xf>
    <xf numFmtId="0" fontId="33" fillId="0" borderId="3" xfId="0" applyFont="1" applyBorder="1" applyAlignment="1">
      <alignment horizontal="center" wrapText="1"/>
    </xf>
    <xf numFmtId="0" fontId="42" fillId="0" borderId="3" xfId="0" applyFont="1" applyBorder="1" applyAlignment="1">
      <alignment wrapText="1"/>
    </xf>
    <xf numFmtId="0" fontId="8" fillId="0" borderId="0" xfId="8"/>
    <xf numFmtId="0" fontId="8" fillId="0" borderId="0" xfId="8" applyFont="1" applyFill="1"/>
    <xf numFmtId="0" fontId="8" fillId="0" borderId="0" xfId="0" applyFont="1" applyAlignment="1">
      <alignment horizontal="center"/>
    </xf>
    <xf numFmtId="0" fontId="6" fillId="0" borderId="0" xfId="8" applyFont="1"/>
    <xf numFmtId="0" fontId="6" fillId="0" borderId="0" xfId="8" applyFont="1" applyFill="1"/>
    <xf numFmtId="0" fontId="8" fillId="0" borderId="0" xfId="8" applyNumberFormat="1" applyFont="1" applyFill="1"/>
    <xf numFmtId="0" fontId="10" fillId="0" borderId="0" xfId="0" applyFont="1" applyFill="1" applyBorder="1" applyAlignment="1">
      <alignment vertical="center"/>
    </xf>
    <xf numFmtId="0" fontId="33" fillId="0" borderId="0" xfId="0" applyFont="1" applyFill="1" applyBorder="1" applyAlignment="1"/>
    <xf numFmtId="0" fontId="2" fillId="0" borderId="0" xfId="0" applyFont="1" applyFill="1" applyBorder="1" applyAlignment="1"/>
    <xf numFmtId="0" fontId="33" fillId="0" borderId="4" xfId="0" applyFont="1" applyBorder="1" applyAlignment="1"/>
    <xf numFmtId="0" fontId="8" fillId="0" borderId="0" xfId="8" applyFont="1"/>
    <xf numFmtId="0" fontId="33" fillId="0" borderId="15" xfId="0" applyFont="1" applyBorder="1" applyAlignment="1">
      <alignment horizontal="center"/>
    </xf>
    <xf numFmtId="0" fontId="31" fillId="0" borderId="0" xfId="0" applyFont="1"/>
    <xf numFmtId="0" fontId="31" fillId="0" borderId="0" xfId="0" applyFont="1" applyAlignment="1">
      <alignment horizontal="center"/>
    </xf>
    <xf numFmtId="0" fontId="39" fillId="11" borderId="1" xfId="0" applyFont="1" applyFill="1" applyBorder="1" applyAlignment="1">
      <alignment horizontal="center" vertical="center"/>
    </xf>
    <xf numFmtId="0" fontId="39" fillId="11" borderId="6" xfId="0" applyFont="1" applyFill="1" applyBorder="1" applyAlignment="1">
      <alignment horizontal="center" vertical="center"/>
    </xf>
    <xf numFmtId="0" fontId="39" fillId="11" borderId="7" xfId="0" applyFont="1" applyFill="1" applyBorder="1" applyAlignment="1">
      <alignment horizontal="center" vertical="center"/>
    </xf>
    <xf numFmtId="0" fontId="34" fillId="12" borderId="1" xfId="0" applyFont="1" applyFill="1" applyBorder="1" applyAlignment="1">
      <alignment horizontal="center"/>
    </xf>
    <xf numFmtId="0" fontId="2" fillId="12" borderId="6" xfId="0" applyFont="1" applyFill="1" applyBorder="1" applyAlignment="1">
      <alignment horizontal="center"/>
    </xf>
    <xf numFmtId="0" fontId="2" fillId="12" borderId="1" xfId="0" applyFont="1" applyFill="1" applyBorder="1"/>
    <xf numFmtId="0" fontId="2" fillId="12" borderId="1" xfId="0" applyFont="1" applyFill="1" applyBorder="1" applyAlignment="1"/>
    <xf numFmtId="0" fontId="2" fillId="12" borderId="7" xfId="0" applyFont="1" applyFill="1" applyBorder="1" applyAlignment="1"/>
    <xf numFmtId="0" fontId="34" fillId="13" borderId="1" xfId="0" applyFont="1" applyFill="1" applyBorder="1" applyAlignment="1">
      <alignment horizontal="center"/>
    </xf>
    <xf numFmtId="0" fontId="2" fillId="13" borderId="1" xfId="0" applyFont="1" applyFill="1" applyBorder="1"/>
    <xf numFmtId="0" fontId="2" fillId="13" borderId="1" xfId="0" applyFont="1" applyFill="1" applyBorder="1" applyAlignment="1"/>
    <xf numFmtId="0" fontId="2" fillId="13" borderId="7" xfId="0" applyFont="1" applyFill="1" applyBorder="1" applyAlignment="1"/>
    <xf numFmtId="0" fontId="34" fillId="0" borderId="0" xfId="0" applyFont="1" applyFill="1"/>
    <xf numFmtId="0" fontId="39" fillId="0" borderId="21" xfId="0" applyFont="1" applyFill="1" applyBorder="1" applyAlignment="1">
      <alignment horizontal="center" vertical="center"/>
    </xf>
    <xf numFmtId="0" fontId="39" fillId="0" borderId="21" xfId="0" applyFont="1" applyFill="1" applyBorder="1" applyAlignment="1">
      <alignment vertical="center"/>
    </xf>
    <xf numFmtId="0" fontId="33" fillId="0" borderId="2" xfId="0" applyFont="1" applyFill="1" applyBorder="1" applyAlignment="1">
      <alignment horizontal="center" vertical="top"/>
    </xf>
    <xf numFmtId="0" fontId="33" fillId="0" borderId="2" xfId="0" applyFont="1" applyFill="1" applyBorder="1" applyAlignment="1">
      <alignment horizontal="left"/>
    </xf>
    <xf numFmtId="0" fontId="33" fillId="0" borderId="2" xfId="0" applyFont="1" applyFill="1" applyBorder="1" applyAlignment="1">
      <alignment horizontal="center"/>
    </xf>
    <xf numFmtId="0" fontId="33" fillId="0" borderId="2" xfId="0" applyFont="1" applyFill="1" applyBorder="1" applyAlignment="1"/>
    <xf numFmtId="0" fontId="39" fillId="0" borderId="13" xfId="0" applyFont="1" applyFill="1" applyBorder="1" applyAlignment="1">
      <alignment horizontal="center" vertical="center"/>
    </xf>
    <xf numFmtId="0" fontId="39" fillId="0" borderId="22" xfId="0" applyFont="1" applyFill="1" applyBorder="1" applyAlignment="1">
      <alignment horizontal="center" vertical="center"/>
    </xf>
    <xf numFmtId="0" fontId="33" fillId="0" borderId="14" xfId="0" applyFont="1" applyFill="1" applyBorder="1" applyAlignment="1">
      <alignment horizontal="left"/>
    </xf>
    <xf numFmtId="0" fontId="33" fillId="0" borderId="23" xfId="0" applyFont="1" applyFill="1" applyBorder="1" applyAlignment="1">
      <alignment horizontal="left"/>
    </xf>
    <xf numFmtId="0" fontId="33" fillId="0" borderId="4" xfId="0" applyFont="1" applyBorder="1" applyAlignment="1">
      <alignment horizontal="left"/>
    </xf>
    <xf numFmtId="0" fontId="10" fillId="11" borderId="1" xfId="0" applyFont="1" applyFill="1" applyBorder="1" applyAlignment="1">
      <alignment horizontal="center" vertical="center"/>
    </xf>
    <xf numFmtId="0" fontId="10" fillId="11" borderId="6" xfId="0" applyFont="1" applyFill="1" applyBorder="1" applyAlignment="1">
      <alignment horizontal="center" vertical="center"/>
    </xf>
    <xf numFmtId="0" fontId="10" fillId="11" borderId="7" xfId="0" applyFont="1" applyFill="1" applyBorder="1" applyAlignment="1">
      <alignment horizontal="center" vertical="center"/>
    </xf>
    <xf numFmtId="0" fontId="2" fillId="13" borderId="6" xfId="0" applyFont="1" applyFill="1" applyBorder="1" applyAlignment="1">
      <alignment horizontal="center"/>
    </xf>
    <xf numFmtId="0" fontId="33" fillId="0" borderId="4" xfId="0" applyFont="1" applyBorder="1" applyAlignment="1">
      <alignment horizontal="left" vertical="center" wrapText="1"/>
    </xf>
    <xf numFmtId="0" fontId="10" fillId="11" borderId="5" xfId="0" applyFont="1" applyFill="1" applyBorder="1" applyAlignment="1">
      <alignment horizontal="center" vertical="center"/>
    </xf>
    <xf numFmtId="0" fontId="10" fillId="0" borderId="21" xfId="0" applyFont="1" applyFill="1" applyBorder="1" applyAlignment="1">
      <alignment horizontal="center" vertical="center"/>
    </xf>
    <xf numFmtId="0" fontId="23" fillId="0" borderId="0" xfId="0" applyFont="1"/>
    <xf numFmtId="0" fontId="33" fillId="0" borderId="4" xfId="0" applyFont="1" applyFill="1" applyBorder="1" applyAlignment="1">
      <alignment vertical="center" wrapText="1"/>
    </xf>
    <xf numFmtId="0" fontId="33" fillId="0" borderId="4" xfId="0" applyFont="1" applyFill="1" applyBorder="1" applyAlignment="1">
      <alignment horizontal="center" vertical="center"/>
    </xf>
    <xf numFmtId="0" fontId="33" fillId="0" borderId="4" xfId="0" applyFont="1" applyFill="1" applyBorder="1" applyAlignment="1">
      <alignment horizontal="center"/>
    </xf>
    <xf numFmtId="0" fontId="33" fillId="0" borderId="4" xfId="0" applyFont="1" applyFill="1" applyBorder="1" applyAlignment="1"/>
    <xf numFmtId="0" fontId="33" fillId="0" borderId="2" xfId="0" applyFont="1" applyFill="1" applyBorder="1" applyAlignment="1">
      <alignment horizontal="center" vertical="center"/>
    </xf>
    <xf numFmtId="0" fontId="33" fillId="0" borderId="4" xfId="0" applyFont="1" applyFill="1" applyBorder="1" applyAlignment="1">
      <alignment vertical="center"/>
    </xf>
    <xf numFmtId="0" fontId="33" fillId="0" borderId="2" xfId="0" applyFont="1" applyFill="1" applyBorder="1" applyAlignment="1">
      <alignment vertical="center"/>
    </xf>
    <xf numFmtId="0" fontId="33" fillId="0" borderId="14" xfId="0" applyFont="1" applyFill="1" applyBorder="1" applyAlignment="1">
      <alignment horizontal="left" vertical="center"/>
    </xf>
    <xf numFmtId="0" fontId="33" fillId="0" borderId="23" xfId="0" applyFont="1" applyFill="1" applyBorder="1" applyAlignment="1">
      <alignment horizontal="left" vertical="center"/>
    </xf>
    <xf numFmtId="0" fontId="33" fillId="13" borderId="1" xfId="0" applyFont="1" applyFill="1" applyBorder="1" applyAlignment="1">
      <alignment horizontal="center"/>
    </xf>
    <xf numFmtId="0" fontId="42" fillId="0" borderId="0" xfId="0" applyFont="1"/>
    <xf numFmtId="0" fontId="33" fillId="0" borderId="0" xfId="0" applyFont="1" applyAlignment="1">
      <alignment horizontal="left"/>
    </xf>
    <xf numFmtId="0" fontId="10" fillId="11" borderId="1" xfId="0" applyFont="1" applyFill="1" applyBorder="1" applyAlignment="1">
      <alignment horizontal="center" vertical="center" wrapText="1"/>
    </xf>
    <xf numFmtId="0" fontId="2" fillId="13" borderId="1" xfId="0" applyFont="1" applyFill="1" applyBorder="1" applyAlignment="1">
      <alignment horizontal="center"/>
    </xf>
    <xf numFmtId="165" fontId="2" fillId="13" borderId="1" xfId="1" applyFont="1" applyFill="1" applyBorder="1"/>
    <xf numFmtId="0" fontId="10" fillId="11" borderId="5" xfId="0" applyFont="1" applyFill="1" applyBorder="1" applyAlignment="1">
      <alignment horizontal="center" vertical="center" wrapText="1"/>
    </xf>
    <xf numFmtId="0" fontId="10" fillId="0" borderId="21" xfId="0" applyFont="1" applyFill="1" applyBorder="1" applyAlignment="1">
      <alignment horizontal="center" vertical="center" wrapText="1"/>
    </xf>
    <xf numFmtId="0" fontId="33" fillId="0" borderId="4" xfId="0" applyFont="1" applyFill="1" applyBorder="1" applyAlignment="1">
      <alignment horizontal="center" vertical="top"/>
    </xf>
    <xf numFmtId="0" fontId="33" fillId="0" borderId="4" xfId="0" applyFont="1" applyFill="1" applyBorder="1" applyAlignment="1">
      <alignment horizontal="left"/>
    </xf>
    <xf numFmtId="165" fontId="33" fillId="0" borderId="4" xfId="1" applyFont="1" applyFill="1" applyBorder="1" applyAlignment="1">
      <alignment horizontal="center"/>
    </xf>
    <xf numFmtId="165" fontId="33" fillId="0" borderId="2" xfId="1" applyFont="1" applyFill="1" applyBorder="1" applyAlignment="1">
      <alignment horizontal="center"/>
    </xf>
    <xf numFmtId="0" fontId="33" fillId="0" borderId="4" xfId="0" applyFont="1" applyFill="1" applyBorder="1" applyAlignment="1">
      <alignment wrapText="1"/>
    </xf>
    <xf numFmtId="165" fontId="33" fillId="0" borderId="4" xfId="1" applyFont="1" applyFill="1" applyBorder="1"/>
    <xf numFmtId="0" fontId="33" fillId="0" borderId="4" xfId="0" applyFont="1" applyFill="1" applyBorder="1"/>
    <xf numFmtId="0" fontId="33" fillId="0" borderId="2" xfId="0" applyFont="1" applyFill="1" applyBorder="1" applyAlignment="1">
      <alignment wrapText="1"/>
    </xf>
    <xf numFmtId="165" fontId="33" fillId="0" borderId="2" xfId="1" applyFont="1" applyFill="1" applyBorder="1"/>
    <xf numFmtId="0" fontId="33" fillId="0" borderId="2" xfId="0" applyFont="1" applyFill="1" applyBorder="1"/>
    <xf numFmtId="0" fontId="10" fillId="0" borderId="13" xfId="0" applyFont="1" applyFill="1" applyBorder="1" applyAlignment="1">
      <alignment horizontal="center" vertical="center"/>
    </xf>
    <xf numFmtId="0" fontId="33" fillId="13" borderId="2" xfId="0" applyFont="1" applyFill="1" applyBorder="1" applyAlignment="1">
      <alignment horizontal="center"/>
    </xf>
    <xf numFmtId="0" fontId="2" fillId="13" borderId="2" xfId="0" applyFont="1" applyFill="1" applyBorder="1" applyAlignment="1">
      <alignment horizontal="center"/>
    </xf>
    <xf numFmtId="165" fontId="2" fillId="13" borderId="2" xfId="1" applyFont="1" applyFill="1" applyBorder="1"/>
    <xf numFmtId="0" fontId="2" fillId="13" borderId="2" xfId="0" applyFont="1" applyFill="1" applyBorder="1"/>
    <xf numFmtId="165" fontId="33" fillId="0" borderId="4" xfId="1" applyFont="1" applyFill="1" applyBorder="1" applyAlignment="1">
      <alignment vertical="center"/>
    </xf>
    <xf numFmtId="0" fontId="0" fillId="12" borderId="1" xfId="0" applyFill="1" applyBorder="1" applyAlignment="1">
      <alignment horizontal="center"/>
    </xf>
    <xf numFmtId="0" fontId="2" fillId="12" borderId="1" xfId="0" applyFont="1" applyFill="1" applyBorder="1" applyAlignment="1">
      <alignment horizontal="center"/>
    </xf>
    <xf numFmtId="165" fontId="2" fillId="12" borderId="1" xfId="1" applyFont="1" applyFill="1" applyBorder="1"/>
    <xf numFmtId="0" fontId="0" fillId="13" borderId="1" xfId="0" applyFill="1" applyBorder="1" applyAlignment="1">
      <alignment horizontal="center"/>
    </xf>
    <xf numFmtId="0" fontId="39" fillId="0" borderId="21" xfId="0" applyFont="1" applyFill="1" applyBorder="1" applyAlignment="1">
      <alignment horizontal="center" vertical="center" wrapText="1"/>
    </xf>
    <xf numFmtId="0" fontId="33" fillId="0" borderId="4" xfId="0" applyFont="1" applyFill="1" applyBorder="1" applyAlignment="1">
      <alignment vertical="top" wrapText="1"/>
    </xf>
    <xf numFmtId="165" fontId="9" fillId="0" borderId="4" xfId="1" applyFont="1" applyFill="1" applyBorder="1" applyAlignment="1">
      <alignment vertical="top"/>
    </xf>
    <xf numFmtId="165" fontId="9" fillId="0" borderId="4" xfId="1" applyNumberFormat="1" applyFont="1" applyFill="1" applyBorder="1" applyAlignment="1">
      <alignment vertical="top"/>
    </xf>
    <xf numFmtId="165" fontId="9" fillId="0" borderId="2" xfId="1" applyFont="1" applyFill="1" applyBorder="1"/>
    <xf numFmtId="0" fontId="39" fillId="0" borderId="13" xfId="0" applyFont="1" applyFill="1" applyBorder="1" applyAlignment="1">
      <alignment horizontal="center" vertical="center" wrapText="1"/>
    </xf>
    <xf numFmtId="0" fontId="39" fillId="0" borderId="22" xfId="0" applyFont="1" applyFill="1" applyBorder="1" applyAlignment="1">
      <alignment horizontal="center" vertical="center" wrapText="1"/>
    </xf>
    <xf numFmtId="165" fontId="9" fillId="0" borderId="4" xfId="1" applyFont="1" applyFill="1" applyBorder="1"/>
    <xf numFmtId="0" fontId="0" fillId="0" borderId="4" xfId="0" applyFill="1" applyBorder="1" applyAlignment="1">
      <alignment horizontal="center"/>
    </xf>
    <xf numFmtId="0" fontId="0" fillId="0" borderId="2" xfId="0" applyFill="1" applyBorder="1" applyAlignment="1">
      <alignment horizontal="center" vertical="top"/>
    </xf>
    <xf numFmtId="0" fontId="8" fillId="0" borderId="2" xfId="0" applyFont="1" applyFill="1" applyBorder="1" applyAlignment="1">
      <alignment horizontal="left"/>
    </xf>
    <xf numFmtId="0" fontId="0" fillId="0" borderId="2" xfId="0" applyFill="1" applyBorder="1" applyAlignment="1">
      <alignment horizontal="center"/>
    </xf>
    <xf numFmtId="0" fontId="39" fillId="11" borderId="1" xfId="0" applyFont="1" applyFill="1" applyBorder="1" applyAlignment="1">
      <alignment horizontal="center" vertical="center" wrapText="1"/>
    </xf>
    <xf numFmtId="0" fontId="24" fillId="0" borderId="0" xfId="0" applyFont="1"/>
    <xf numFmtId="0" fontId="23" fillId="0" borderId="0" xfId="0" applyFont="1" applyFill="1" applyAlignment="1">
      <alignment vertical="top"/>
    </xf>
    <xf numFmtId="0" fontId="24" fillId="0" borderId="1" xfId="0" applyFont="1" applyBorder="1"/>
    <xf numFmtId="0" fontId="24" fillId="0" borderId="1" xfId="0" applyFont="1" applyBorder="1" applyAlignment="1">
      <alignment horizontal="center"/>
    </xf>
    <xf numFmtId="0" fontId="24" fillId="0" borderId="1" xfId="0" applyFont="1" applyBorder="1" applyAlignment="1">
      <alignment horizontal="center" vertical="center"/>
    </xf>
    <xf numFmtId="15" fontId="24" fillId="0" borderId="1" xfId="0" applyNumberFormat="1" applyFont="1" applyFill="1" applyBorder="1" applyAlignment="1">
      <alignment horizontal="center" vertical="center"/>
    </xf>
    <xf numFmtId="0" fontId="24" fillId="0" borderId="0" xfId="0" applyFont="1" applyBorder="1"/>
    <xf numFmtId="0" fontId="8" fillId="0" borderId="0" xfId="0" applyFont="1" applyAlignment="1">
      <alignment horizontal="left" vertical="top"/>
    </xf>
    <xf numFmtId="9" fontId="8" fillId="0" borderId="0" xfId="0" applyNumberFormat="1" applyFont="1" applyAlignment="1">
      <alignment horizontal="left"/>
    </xf>
    <xf numFmtId="0" fontId="8" fillId="3" borderId="0" xfId="0" applyFont="1" applyFill="1"/>
    <xf numFmtId="164" fontId="8" fillId="3" borderId="1" xfId="1" applyNumberFormat="1" applyFont="1" applyFill="1" applyBorder="1" applyAlignment="1">
      <alignment horizontal="center" vertical="center"/>
    </xf>
    <xf numFmtId="165" fontId="8" fillId="3" borderId="1" xfId="1" applyFont="1" applyFill="1" applyBorder="1" applyAlignment="1">
      <alignment horizontal="center" vertical="center"/>
    </xf>
    <xf numFmtId="3" fontId="8" fillId="0" borderId="1" xfId="0" applyNumberFormat="1" applyFont="1" applyBorder="1" applyAlignment="1">
      <alignment horizontal="center"/>
    </xf>
    <xf numFmtId="3" fontId="8" fillId="3" borderId="1" xfId="0" applyNumberFormat="1" applyFont="1" applyFill="1" applyBorder="1" applyAlignment="1">
      <alignment horizontal="center" vertical="center"/>
    </xf>
    <xf numFmtId="0" fontId="8" fillId="3" borderId="3" xfId="0" applyFont="1" applyFill="1" applyBorder="1" applyAlignment="1">
      <alignment horizontal="center" vertical="center"/>
    </xf>
    <xf numFmtId="3" fontId="8" fillId="0" borderId="3" xfId="0" applyNumberFormat="1" applyFont="1" applyBorder="1" applyAlignment="1"/>
    <xf numFmtId="164" fontId="8" fillId="3" borderId="3" xfId="0" applyNumberFormat="1" applyFont="1" applyFill="1" applyBorder="1" applyAlignment="1">
      <alignment horizontal="center" vertical="center"/>
    </xf>
    <xf numFmtId="3" fontId="8" fillId="3" borderId="3" xfId="0" applyNumberFormat="1" applyFont="1" applyFill="1" applyBorder="1" applyAlignment="1">
      <alignment horizontal="center" vertical="center"/>
    </xf>
    <xf numFmtId="3" fontId="8" fillId="0" borderId="3" xfId="0" applyNumberFormat="1" applyFont="1" applyBorder="1" applyAlignment="1">
      <alignment horizontal="center"/>
    </xf>
    <xf numFmtId="0" fontId="8" fillId="3" borderId="4" xfId="0" applyFont="1" applyFill="1" applyBorder="1" applyAlignment="1">
      <alignment horizontal="center" vertical="center"/>
    </xf>
    <xf numFmtId="3" fontId="8" fillId="0" borderId="4" xfId="0" applyNumberFormat="1" applyFont="1" applyBorder="1" applyAlignment="1">
      <alignment vertical="center" wrapText="1"/>
    </xf>
    <xf numFmtId="164" fontId="8" fillId="3" borderId="4" xfId="0" applyNumberFormat="1" applyFont="1" applyFill="1" applyBorder="1" applyAlignment="1">
      <alignment horizontal="center" vertical="center"/>
    </xf>
    <xf numFmtId="3" fontId="8" fillId="3" borderId="4" xfId="0" applyNumberFormat="1" applyFont="1" applyFill="1" applyBorder="1" applyAlignment="1">
      <alignment horizontal="center" vertical="center"/>
    </xf>
    <xf numFmtId="3" fontId="8" fillId="0" borderId="4" xfId="0" applyNumberFormat="1" applyFont="1" applyBorder="1" applyAlignment="1">
      <alignment horizontal="center" vertical="center" wrapText="1"/>
    </xf>
    <xf numFmtId="0" fontId="8" fillId="3" borderId="11" xfId="0" applyFont="1" applyFill="1" applyBorder="1" applyAlignment="1">
      <alignment horizontal="center" vertical="center"/>
    </xf>
    <xf numFmtId="164" fontId="8" fillId="3" borderId="11" xfId="0" applyNumberFormat="1" applyFont="1" applyFill="1" applyBorder="1" applyAlignment="1">
      <alignment horizontal="center" vertical="center"/>
    </xf>
    <xf numFmtId="3" fontId="8" fillId="3" borderId="11" xfId="0" applyNumberFormat="1" applyFont="1" applyFill="1" applyBorder="1" applyAlignment="1">
      <alignment horizontal="center" vertical="center"/>
    </xf>
    <xf numFmtId="3" fontId="8" fillId="0" borderId="11" xfId="0" applyNumberFormat="1" applyFont="1" applyBorder="1" applyAlignment="1">
      <alignment horizontal="center" vertical="center" wrapText="1"/>
    </xf>
    <xf numFmtId="0" fontId="8" fillId="3" borderId="21" xfId="0" applyFont="1" applyFill="1" applyBorder="1" applyAlignment="1">
      <alignment horizontal="center" vertical="center"/>
    </xf>
    <xf numFmtId="3" fontId="8" fillId="3" borderId="21" xfId="0" applyNumberFormat="1" applyFont="1" applyFill="1" applyBorder="1" applyAlignment="1">
      <alignment horizontal="center" vertical="center"/>
    </xf>
    <xf numFmtId="0" fontId="8" fillId="3" borderId="2" xfId="0" applyFont="1" applyFill="1" applyBorder="1" applyAlignment="1">
      <alignment horizontal="center" vertical="center"/>
    </xf>
    <xf numFmtId="164" fontId="8" fillId="3" borderId="2" xfId="0" applyNumberFormat="1" applyFont="1" applyFill="1" applyBorder="1" applyAlignment="1">
      <alignment horizontal="center" vertical="center"/>
    </xf>
    <xf numFmtId="3" fontId="8" fillId="3" borderId="2" xfId="0" applyNumberFormat="1" applyFont="1" applyFill="1" applyBorder="1" applyAlignment="1">
      <alignment horizontal="center" vertical="center"/>
    </xf>
    <xf numFmtId="0" fontId="2" fillId="13" borderId="1" xfId="0" applyFont="1" applyFill="1" applyBorder="1" applyAlignment="1">
      <alignment horizontal="center" vertical="center"/>
    </xf>
    <xf numFmtId="3" fontId="2" fillId="13" borderId="1" xfId="0" applyNumberFormat="1" applyFont="1" applyFill="1" applyBorder="1" applyAlignment="1">
      <alignment vertical="center" wrapText="1"/>
    </xf>
    <xf numFmtId="164" fontId="8" fillId="13" borderId="1" xfId="1" applyNumberFormat="1" applyFont="1" applyFill="1" applyBorder="1" applyAlignment="1">
      <alignment horizontal="center" vertical="center"/>
    </xf>
    <xf numFmtId="165" fontId="8" fillId="13" borderId="1" xfId="1" applyFont="1" applyFill="1" applyBorder="1" applyAlignment="1">
      <alignment horizontal="center" vertical="center"/>
    </xf>
    <xf numFmtId="3" fontId="8" fillId="13" borderId="1" xfId="0" applyNumberFormat="1" applyFont="1" applyFill="1" applyBorder="1" applyAlignment="1">
      <alignment vertical="center" wrapText="1"/>
    </xf>
    <xf numFmtId="3" fontId="8" fillId="13" borderId="1" xfId="0" applyNumberFormat="1" applyFont="1" applyFill="1" applyBorder="1" applyAlignment="1">
      <alignment horizontal="center" vertical="center"/>
    </xf>
    <xf numFmtId="3" fontId="2" fillId="13" borderId="1" xfId="0" applyNumberFormat="1" applyFont="1" applyFill="1" applyBorder="1" applyAlignment="1">
      <alignment horizontal="left" vertical="center"/>
    </xf>
    <xf numFmtId="3" fontId="8" fillId="13" borderId="1" xfId="0" applyNumberFormat="1" applyFont="1" applyFill="1" applyBorder="1" applyAlignment="1">
      <alignment horizontal="left" vertical="center"/>
    </xf>
    <xf numFmtId="0" fontId="2" fillId="13" borderId="1" xfId="0" applyFont="1" applyFill="1" applyBorder="1" applyAlignment="1">
      <alignment horizontal="center" vertical="top"/>
    </xf>
    <xf numFmtId="3" fontId="2" fillId="13" borderId="1" xfId="0" applyNumberFormat="1" applyFont="1" applyFill="1" applyBorder="1" applyAlignment="1">
      <alignment wrapText="1"/>
    </xf>
    <xf numFmtId="164" fontId="2" fillId="13" borderId="1" xfId="1" applyNumberFormat="1" applyFont="1" applyFill="1" applyBorder="1" applyAlignment="1">
      <alignment horizontal="center" vertical="center"/>
    </xf>
    <xf numFmtId="165" fontId="2" fillId="13" borderId="1" xfId="1" applyFont="1" applyFill="1" applyBorder="1" applyAlignment="1">
      <alignment horizontal="center" vertical="center"/>
    </xf>
    <xf numFmtId="3" fontId="2" fillId="13" borderId="1" xfId="0" applyNumberFormat="1" applyFont="1" applyFill="1" applyBorder="1"/>
    <xf numFmtId="164" fontId="8" fillId="13" borderId="1" xfId="0" applyNumberFormat="1" applyFont="1" applyFill="1" applyBorder="1" applyAlignment="1">
      <alignment horizontal="center" vertical="center"/>
    </xf>
    <xf numFmtId="0" fontId="1" fillId="3" borderId="0" xfId="0" applyFont="1" applyFill="1"/>
    <xf numFmtId="0" fontId="22" fillId="3" borderId="0" xfId="0" applyFont="1" applyFill="1" applyAlignment="1">
      <alignment vertical="top"/>
    </xf>
    <xf numFmtId="0" fontId="18" fillId="3" borderId="0" xfId="9" applyFont="1" applyFill="1" applyAlignment="1">
      <alignment horizontal="right" vertical="top"/>
    </xf>
    <xf numFmtId="165" fontId="18" fillId="3" borderId="0" xfId="1" applyFont="1" applyFill="1" applyAlignment="1">
      <alignment vertical="top"/>
    </xf>
    <xf numFmtId="0" fontId="20" fillId="0" borderId="0" xfId="9" applyFont="1" applyFill="1">
      <alignment vertical="center"/>
    </xf>
    <xf numFmtId="0" fontId="22" fillId="0" borderId="0" xfId="0" applyFont="1" applyAlignment="1">
      <alignment vertical="top"/>
    </xf>
    <xf numFmtId="0" fontId="24" fillId="3" borderId="0" xfId="0" applyFont="1" applyFill="1"/>
    <xf numFmtId="0" fontId="18" fillId="3" borderId="0" xfId="9" applyFont="1" applyFill="1">
      <alignment vertical="center"/>
    </xf>
    <xf numFmtId="0" fontId="2" fillId="3" borderId="0" xfId="0" applyFont="1" applyFill="1" applyAlignment="1">
      <alignment vertical="top"/>
    </xf>
    <xf numFmtId="0" fontId="8" fillId="3" borderId="0" xfId="0" applyFont="1" applyFill="1" applyAlignment="1">
      <alignment vertical="top"/>
    </xf>
    <xf numFmtId="0" fontId="8" fillId="3" borderId="1" xfId="0" applyFont="1" applyFill="1" applyBorder="1" applyAlignment="1">
      <alignment vertical="top"/>
    </xf>
    <xf numFmtId="165" fontId="8" fillId="3" borderId="1" xfId="1" applyFont="1" applyFill="1" applyBorder="1" applyAlignment="1">
      <alignment horizontal="center" vertical="top"/>
    </xf>
    <xf numFmtId="0" fontId="8" fillId="3" borderId="1" xfId="0" applyFont="1" applyFill="1" applyBorder="1" applyAlignment="1">
      <alignment horizontal="center" vertical="top"/>
    </xf>
    <xf numFmtId="0" fontId="18" fillId="0" borderId="0" xfId="0" applyFont="1" applyAlignment="1">
      <alignment vertical="top"/>
    </xf>
    <xf numFmtId="15" fontId="24" fillId="0" borderId="1" xfId="0" applyNumberFormat="1" applyFont="1" applyBorder="1" applyAlignment="1">
      <alignment horizontal="center" vertical="top"/>
    </xf>
    <xf numFmtId="165" fontId="8" fillId="3" borderId="0" xfId="2" applyFont="1" applyFill="1" applyBorder="1" applyAlignment="1">
      <alignment vertical="top"/>
    </xf>
    <xf numFmtId="0" fontId="8" fillId="3" borderId="0" xfId="0" applyFont="1" applyFill="1" applyBorder="1" applyAlignment="1">
      <alignment horizontal="left" vertical="top"/>
    </xf>
    <xf numFmtId="0" fontId="13" fillId="3" borderId="0" xfId="9" applyFont="1" applyFill="1" applyAlignment="1">
      <alignment horizontal="left" vertical="center"/>
    </xf>
    <xf numFmtId="0" fontId="8" fillId="3" borderId="0" xfId="9" applyFont="1" applyFill="1" applyAlignment="1">
      <alignment horizontal="left" vertical="center"/>
    </xf>
    <xf numFmtId="166" fontId="8" fillId="3" borderId="0" xfId="1" applyNumberFormat="1" applyFont="1" applyFill="1" applyAlignment="1">
      <alignment horizontal="right" vertical="center"/>
    </xf>
    <xf numFmtId="165" fontId="8" fillId="3" borderId="0" xfId="1" applyFont="1" applyFill="1" applyAlignment="1">
      <alignment horizontal="right" vertical="center"/>
    </xf>
    <xf numFmtId="0" fontId="8" fillId="3" borderId="0" xfId="9" applyFont="1" applyFill="1">
      <alignment vertical="center"/>
    </xf>
    <xf numFmtId="0" fontId="18" fillId="0" borderId="0" xfId="9" applyFont="1">
      <alignment vertical="center"/>
    </xf>
    <xf numFmtId="0" fontId="8" fillId="0" borderId="4" xfId="0" applyFont="1" applyBorder="1" applyAlignment="1">
      <alignment horizontal="center" vertical="center"/>
    </xf>
    <xf numFmtId="49" fontId="8" fillId="6" borderId="4" xfId="0" applyNumberFormat="1" applyFont="1" applyFill="1" applyBorder="1" applyAlignment="1" applyProtection="1">
      <alignment horizontal="center" vertical="center"/>
    </xf>
    <xf numFmtId="49" fontId="8" fillId="6" borderId="4" xfId="0" applyNumberFormat="1" applyFont="1" applyFill="1" applyBorder="1" applyAlignment="1" applyProtection="1">
      <alignment horizontal="left" vertical="center" wrapText="1"/>
    </xf>
    <xf numFmtId="167" fontId="8" fillId="6" borderId="4" xfId="0" applyNumberFormat="1" applyFont="1" applyFill="1" applyBorder="1" applyAlignment="1" applyProtection="1">
      <alignment horizontal="center" vertical="center"/>
    </xf>
    <xf numFmtId="165" fontId="8" fillId="6" borderId="4" xfId="2" applyFont="1" applyFill="1" applyBorder="1" applyAlignment="1" applyProtection="1">
      <alignment horizontal="left" vertical="center" wrapText="1"/>
    </xf>
    <xf numFmtId="3" fontId="2" fillId="0" borderId="4" xfId="0" applyNumberFormat="1" applyFont="1" applyFill="1" applyBorder="1" applyAlignment="1">
      <alignment horizontal="center" vertical="center"/>
    </xf>
    <xf numFmtId="0" fontId="18" fillId="0" borderId="0" xfId="0" applyFont="1" applyFill="1" applyAlignment="1">
      <alignment vertical="top"/>
    </xf>
    <xf numFmtId="0" fontId="24" fillId="0" borderId="4" xfId="0" applyFont="1" applyFill="1" applyBorder="1" applyAlignment="1">
      <alignment horizontal="center" vertical="center"/>
    </xf>
    <xf numFmtId="0" fontId="24" fillId="0" borderId="4" xfId="0" applyFont="1" applyFill="1" applyBorder="1" applyAlignment="1">
      <alignment horizontal="left" vertical="center"/>
    </xf>
    <xf numFmtId="165" fontId="24" fillId="0" borderId="4" xfId="1" applyNumberFormat="1" applyFont="1" applyFill="1" applyBorder="1" applyAlignment="1">
      <alignment horizontal="right" vertical="center"/>
    </xf>
    <xf numFmtId="165" fontId="24" fillId="0" borderId="8" xfId="10" applyNumberFormat="1" applyFont="1" applyFill="1" applyBorder="1" applyAlignment="1">
      <alignment horizontal="right" wrapText="1"/>
    </xf>
    <xf numFmtId="3" fontId="2" fillId="0" borderId="8" xfId="0" applyNumberFormat="1" applyFont="1" applyFill="1" applyBorder="1" applyAlignment="1">
      <alignment horizontal="center" vertical="center"/>
    </xf>
    <xf numFmtId="0" fontId="8" fillId="7" borderId="2" xfId="0" applyFont="1" applyFill="1" applyBorder="1" applyAlignment="1">
      <alignment horizontal="center"/>
    </xf>
    <xf numFmtId="14" fontId="8" fillId="7" borderId="2" xfId="0" applyNumberFormat="1" applyFont="1" applyFill="1" applyBorder="1" applyAlignment="1">
      <alignment horizontal="left" wrapText="1"/>
    </xf>
    <xf numFmtId="168" fontId="8" fillId="7" borderId="2" xfId="0" applyNumberFormat="1" applyFont="1" applyFill="1" applyBorder="1" applyAlignment="1">
      <alignment horizontal="right"/>
    </xf>
    <xf numFmtId="169" fontId="8" fillId="7" borderId="2" xfId="0" applyNumberFormat="1" applyFont="1" applyFill="1" applyBorder="1" applyAlignment="1"/>
    <xf numFmtId="0" fontId="24" fillId="0" borderId="2" xfId="6" applyFont="1" applyBorder="1"/>
    <xf numFmtId="0" fontId="24" fillId="0" borderId="0" xfId="6" applyFont="1"/>
    <xf numFmtId="168" fontId="2" fillId="5" borderId="1" xfId="0" applyNumberFormat="1" applyFont="1" applyFill="1" applyBorder="1" applyAlignment="1"/>
    <xf numFmtId="169" fontId="2" fillId="5" borderId="1" xfId="0" applyNumberFormat="1" applyFont="1" applyFill="1" applyBorder="1" applyAlignment="1"/>
    <xf numFmtId="165" fontId="22" fillId="0" borderId="0" xfId="2" applyFont="1" applyAlignment="1">
      <alignment vertical="top"/>
    </xf>
    <xf numFmtId="0" fontId="22" fillId="0" borderId="0" xfId="0" applyFont="1" applyAlignment="1">
      <alignment horizontal="left" vertical="top"/>
    </xf>
    <xf numFmtId="0" fontId="23" fillId="3" borderId="0" xfId="0" applyFont="1" applyFill="1" applyAlignment="1">
      <alignment vertical="top"/>
    </xf>
    <xf numFmtId="0" fontId="39" fillId="0" borderId="22" xfId="0" applyFont="1" applyFill="1" applyBorder="1" applyAlignment="1">
      <alignment vertical="center"/>
    </xf>
    <xf numFmtId="0" fontId="33" fillId="0" borderId="15" xfId="0" applyFont="1" applyBorder="1" applyAlignment="1"/>
    <xf numFmtId="0" fontId="33" fillId="0" borderId="24" xfId="0" applyFont="1" applyBorder="1" applyAlignment="1"/>
    <xf numFmtId="0" fontId="33" fillId="0" borderId="14" xfId="0" applyFont="1" applyFill="1" applyBorder="1" applyAlignment="1"/>
    <xf numFmtId="0" fontId="33" fillId="0" borderId="23" xfId="0" applyFont="1" applyFill="1" applyBorder="1" applyAlignment="1"/>
    <xf numFmtId="0" fontId="2" fillId="13" borderId="6" xfId="0" applyFont="1" applyFill="1" applyBorder="1" applyAlignment="1"/>
    <xf numFmtId="0" fontId="0" fillId="13" borderId="2" xfId="0" applyFill="1" applyBorder="1" applyAlignment="1">
      <alignment horizontal="center"/>
    </xf>
    <xf numFmtId="0" fontId="9" fillId="13" borderId="6" xfId="0" applyFont="1" applyFill="1" applyBorder="1" applyAlignment="1">
      <alignment horizontal="center"/>
    </xf>
    <xf numFmtId="0" fontId="8" fillId="0" borderId="0" xfId="0" applyFont="1" applyAlignment="1">
      <alignment vertical="top"/>
    </xf>
    <xf numFmtId="0" fontId="8" fillId="0" borderId="4" xfId="0" quotePrefix="1" applyFont="1" applyFill="1" applyBorder="1" applyAlignment="1">
      <alignment horizontal="center" vertical="center"/>
    </xf>
    <xf numFmtId="0" fontId="8" fillId="0" borderId="0" xfId="0" applyFont="1" applyFill="1"/>
    <xf numFmtId="3" fontId="10" fillId="11" borderId="5" xfId="0" applyNumberFormat="1" applyFont="1" applyFill="1" applyBorder="1" applyAlignment="1">
      <alignment horizontal="center" vertical="center"/>
    </xf>
    <xf numFmtId="166" fontId="33" fillId="0" borderId="1" xfId="1" applyNumberFormat="1" applyFont="1" applyBorder="1" applyAlignment="1">
      <alignment vertical="center"/>
    </xf>
    <xf numFmtId="166" fontId="33" fillId="0" borderId="1" xfId="0" applyNumberFormat="1" applyFont="1" applyBorder="1" applyAlignment="1">
      <alignment vertical="center"/>
    </xf>
    <xf numFmtId="166" fontId="33" fillId="0" borderId="1" xfId="0" applyNumberFormat="1" applyFont="1" applyBorder="1" applyAlignment="1">
      <alignment horizontal="center" vertical="center"/>
    </xf>
    <xf numFmtId="166" fontId="33" fillId="0" borderId="1" xfId="0" applyNumberFormat="1" applyFont="1" applyBorder="1" applyAlignment="1">
      <alignment horizontal="right" vertical="center"/>
    </xf>
    <xf numFmtId="49" fontId="33" fillId="0" borderId="1" xfId="0" applyNumberFormat="1" applyFont="1" applyBorder="1" applyAlignment="1">
      <alignment horizontal="center" vertical="center" wrapText="1"/>
    </xf>
    <xf numFmtId="0" fontId="33" fillId="0" borderId="1" xfId="0" applyFont="1" applyFill="1" applyBorder="1" applyAlignment="1">
      <alignment horizontal="center" vertical="center"/>
    </xf>
    <xf numFmtId="0" fontId="2" fillId="0" borderId="0" xfId="0" applyFont="1" applyFill="1" applyBorder="1" applyAlignment="1">
      <alignment horizontal="center" vertical="top" wrapText="1"/>
    </xf>
    <xf numFmtId="0" fontId="6" fillId="0" borderId="0" xfId="0" applyFont="1" applyFill="1" applyBorder="1" applyAlignment="1">
      <alignment horizontal="right" vertical="top"/>
    </xf>
    <xf numFmtId="0" fontId="33" fillId="0" borderId="2" xfId="0" applyFont="1" applyFill="1" applyBorder="1" applyAlignment="1">
      <alignment horizontal="center"/>
    </xf>
    <xf numFmtId="0" fontId="33" fillId="0" borderId="14" xfId="0" applyFont="1" applyBorder="1" applyAlignment="1">
      <alignment horizontal="center"/>
    </xf>
    <xf numFmtId="0" fontId="33" fillId="0" borderId="13" xfId="0" applyFont="1" applyBorder="1" applyAlignment="1">
      <alignment horizontal="center"/>
    </xf>
    <xf numFmtId="0" fontId="8" fillId="0" borderId="0" xfId="8" quotePrefix="1" applyFont="1" applyFill="1"/>
    <xf numFmtId="0" fontId="8" fillId="0" borderId="0" xfId="8" applyFill="1"/>
    <xf numFmtId="0" fontId="6" fillId="0" borderId="0" xfId="0" quotePrefix="1" applyFont="1" applyFill="1" applyAlignment="1">
      <alignment horizontal="right"/>
    </xf>
    <xf numFmtId="0" fontId="35" fillId="0" borderId="0" xfId="0" applyFont="1" applyFill="1"/>
    <xf numFmtId="0" fontId="8" fillId="0" borderId="0" xfId="0" applyFont="1" applyFill="1" applyAlignment="1">
      <alignment horizontal="center"/>
    </xf>
    <xf numFmtId="0" fontId="5" fillId="0" borderId="0" xfId="0" applyFont="1" applyFill="1"/>
    <xf numFmtId="0" fontId="33" fillId="0" borderId="8" xfId="0" applyFont="1" applyBorder="1" applyAlignment="1">
      <alignment horizontal="left" vertical="center" wrapText="1"/>
    </xf>
    <xf numFmtId="0" fontId="33" fillId="0" borderId="8" xfId="0" applyFont="1" applyBorder="1" applyAlignment="1">
      <alignment vertical="center"/>
    </xf>
    <xf numFmtId="0" fontId="8" fillId="3" borderId="9" xfId="0" applyFont="1" applyFill="1" applyBorder="1" applyAlignment="1">
      <alignment horizontal="center" vertical="center"/>
    </xf>
    <xf numFmtId="3" fontId="8" fillId="3" borderId="9" xfId="0" applyNumberFormat="1" applyFont="1" applyFill="1" applyBorder="1" applyAlignment="1">
      <alignment horizontal="center" vertical="center"/>
    </xf>
    <xf numFmtId="3" fontId="8" fillId="3" borderId="5" xfId="0" applyNumberFormat="1" applyFont="1" applyFill="1" applyBorder="1" applyAlignment="1">
      <alignment horizontal="left" vertical="center"/>
    </xf>
    <xf numFmtId="164" fontId="8" fillId="3" borderId="5" xfId="0" applyNumberFormat="1" applyFont="1" applyFill="1" applyBorder="1" applyAlignment="1">
      <alignment horizontal="center" vertical="center"/>
    </xf>
    <xf numFmtId="3" fontId="8" fillId="3" borderId="5" xfId="0" applyNumberFormat="1" applyFont="1" applyFill="1" applyBorder="1" applyAlignment="1">
      <alignment horizontal="center" vertical="center"/>
    </xf>
    <xf numFmtId="3" fontId="8" fillId="0" borderId="5" xfId="0" applyNumberFormat="1" applyFont="1" applyBorder="1" applyAlignment="1">
      <alignment horizontal="center" vertical="center" wrapText="1"/>
    </xf>
    <xf numFmtId="0" fontId="33" fillId="0" borderId="25" xfId="0" applyFont="1" applyBorder="1" applyAlignment="1">
      <alignment horizontal="center"/>
    </xf>
    <xf numFmtId="0" fontId="32" fillId="0" borderId="0" xfId="0" applyFont="1"/>
    <xf numFmtId="0" fontId="43" fillId="0" borderId="8" xfId="0" applyFont="1" applyFill="1" applyBorder="1" applyAlignment="1">
      <alignment horizontal="center"/>
    </xf>
    <xf numFmtId="0" fontId="43" fillId="0" borderId="8" xfId="0" applyFont="1" applyFill="1" applyBorder="1" applyAlignment="1"/>
    <xf numFmtId="0" fontId="44" fillId="0" borderId="8" xfId="0" applyFont="1" applyBorder="1" applyAlignment="1">
      <alignment horizontal="center" vertical="top"/>
    </xf>
    <xf numFmtId="0" fontId="10" fillId="11" borderId="5" xfId="0" applyFont="1" applyFill="1" applyBorder="1" applyAlignment="1">
      <alignment horizontal="center" vertical="center"/>
    </xf>
    <xf numFmtId="0" fontId="8" fillId="0" borderId="19" xfId="0" applyFont="1" applyFill="1" applyBorder="1" applyAlignment="1">
      <alignment horizontal="left"/>
    </xf>
    <xf numFmtId="0" fontId="8" fillId="0" borderId="8" xfId="0" applyFont="1" applyFill="1" applyBorder="1" applyAlignment="1">
      <alignment horizontal="center" vertical="center"/>
    </xf>
    <xf numFmtId="0" fontId="45" fillId="0" borderId="0" xfId="0" applyFont="1"/>
    <xf numFmtId="3" fontId="8" fillId="3" borderId="4" xfId="0" applyNumberFormat="1" applyFont="1" applyFill="1" applyBorder="1" applyAlignment="1">
      <alignment horizontal="center" vertical="center" wrapText="1"/>
    </xf>
    <xf numFmtId="15" fontId="19" fillId="0" borderId="1" xfId="0" applyNumberFormat="1" applyFont="1" applyBorder="1" applyAlignment="1">
      <alignment horizontal="center" vertical="top"/>
    </xf>
    <xf numFmtId="0" fontId="8" fillId="0" borderId="0" xfId="0" applyFont="1" applyFill="1" applyAlignment="1">
      <alignment vertical="top"/>
    </xf>
    <xf numFmtId="166" fontId="8" fillId="0" borderId="1" xfId="1" applyNumberFormat="1" applyFont="1" applyBorder="1" applyAlignment="1">
      <alignment horizontal="center" vertical="top" wrapText="1"/>
    </xf>
    <xf numFmtId="0" fontId="8" fillId="0" borderId="0" xfId="9" applyFont="1" applyFill="1" applyAlignment="1">
      <alignment vertical="top"/>
    </xf>
    <xf numFmtId="40" fontId="8" fillId="0" borderId="0" xfId="0" applyNumberFormat="1" applyFont="1" applyFill="1" applyAlignment="1">
      <alignment vertical="top"/>
    </xf>
    <xf numFmtId="37" fontId="8" fillId="0" borderId="0" xfId="0" applyNumberFormat="1" applyFont="1" applyFill="1" applyAlignment="1">
      <alignment vertical="top"/>
    </xf>
    <xf numFmtId="37" fontId="8" fillId="0" borderId="0" xfId="0" applyNumberFormat="1" applyFont="1" applyFill="1" applyAlignment="1">
      <alignment horizontal="center" vertical="top"/>
    </xf>
    <xf numFmtId="0" fontId="8" fillId="0" borderId="0" xfId="0" applyFont="1" applyFill="1" applyBorder="1" applyAlignment="1">
      <alignment vertical="top"/>
    </xf>
    <xf numFmtId="165" fontId="8" fillId="0" borderId="0" xfId="2" applyFont="1" applyFill="1" applyBorder="1" applyAlignment="1">
      <alignment horizontal="center" vertical="top"/>
    </xf>
    <xf numFmtId="0" fontId="8" fillId="0" borderId="0" xfId="0" applyFont="1" applyFill="1" applyBorder="1" applyAlignment="1">
      <alignment horizontal="center" vertical="top"/>
    </xf>
    <xf numFmtId="0" fontId="2" fillId="0" borderId="0" xfId="0" applyFont="1" applyAlignment="1">
      <alignment vertical="top"/>
    </xf>
    <xf numFmtId="0" fontId="8" fillId="0" borderId="1" xfId="0" applyFont="1" applyFill="1" applyBorder="1" applyAlignment="1">
      <alignment vertical="top"/>
    </xf>
    <xf numFmtId="165" fontId="8" fillId="0" borderId="1" xfId="2" applyFont="1" applyFill="1" applyBorder="1" applyAlignment="1">
      <alignment horizontal="center" vertical="top"/>
    </xf>
    <xf numFmtId="0" fontId="8" fillId="0" borderId="1" xfId="0" applyFont="1" applyFill="1" applyBorder="1" applyAlignment="1">
      <alignment horizontal="center" vertical="top"/>
    </xf>
    <xf numFmtId="0" fontId="2" fillId="0" borderId="0" xfId="0" applyFont="1" applyFill="1" applyAlignment="1">
      <alignment vertical="top"/>
    </xf>
    <xf numFmtId="0" fontId="33" fillId="0" borderId="0" xfId="0" applyFont="1" applyFill="1" applyBorder="1" applyAlignment="1">
      <alignment vertical="top"/>
    </xf>
    <xf numFmtId="0" fontId="10" fillId="4" borderId="1" xfId="7" applyFont="1" applyFill="1" applyBorder="1" applyAlignment="1">
      <alignment horizontal="center" vertical="center"/>
    </xf>
    <xf numFmtId="0" fontId="28" fillId="2" borderId="0" xfId="0" applyFont="1" applyFill="1" applyAlignment="1">
      <alignment vertical="top"/>
    </xf>
    <xf numFmtId="0" fontId="5" fillId="13" borderId="1" xfId="0" applyFont="1" applyFill="1" applyBorder="1" applyAlignment="1">
      <alignment horizontal="left" vertical="center"/>
    </xf>
    <xf numFmtId="165" fontId="2" fillId="13" borderId="1" xfId="2" applyNumberFormat="1" applyFont="1" applyFill="1" applyBorder="1" applyAlignment="1">
      <alignment horizontal="right" vertical="center"/>
    </xf>
    <xf numFmtId="164" fontId="2" fillId="13" borderId="1" xfId="2" applyNumberFormat="1" applyFont="1" applyFill="1" applyBorder="1" applyAlignment="1">
      <alignment horizontal="right" vertical="center"/>
    </xf>
    <xf numFmtId="37" fontId="2" fillId="13" borderId="1" xfId="0" applyNumberFormat="1" applyFont="1" applyFill="1" applyBorder="1" applyAlignment="1">
      <alignment horizontal="center" vertical="center"/>
    </xf>
    <xf numFmtId="0" fontId="2" fillId="8" borderId="0" xfId="0" applyFont="1" applyFill="1" applyAlignment="1">
      <alignment vertical="top"/>
    </xf>
    <xf numFmtId="0" fontId="8" fillId="0" borderId="9" xfId="0" quotePrefix="1" applyFont="1" applyBorder="1" applyAlignment="1">
      <alignment horizontal="center" vertical="center"/>
    </xf>
    <xf numFmtId="0" fontId="8" fillId="0" borderId="9" xfId="0" applyFont="1" applyBorder="1" applyAlignment="1">
      <alignment horizontal="left" vertical="center"/>
    </xf>
    <xf numFmtId="165" fontId="8" fillId="0" borderId="9" xfId="0" applyNumberFormat="1" applyFont="1" applyBorder="1" applyAlignment="1">
      <alignment horizontal="right" vertical="center"/>
    </xf>
    <xf numFmtId="164" fontId="8" fillId="0" borderId="9" xfId="0" applyNumberFormat="1" applyFont="1" applyBorder="1" applyAlignment="1">
      <alignment vertical="center"/>
    </xf>
    <xf numFmtId="37" fontId="8" fillId="0" borderId="9" xfId="0" applyNumberFormat="1" applyFont="1" applyBorder="1" applyAlignment="1">
      <alignment horizontal="center" vertical="center"/>
    </xf>
    <xf numFmtId="165" fontId="2" fillId="13" borderId="1" xfId="0" applyNumberFormat="1" applyFont="1" applyFill="1" applyBorder="1" applyAlignment="1">
      <alignment horizontal="right" vertical="center"/>
    </xf>
    <xf numFmtId="164" fontId="2" fillId="13" borderId="1" xfId="0" applyNumberFormat="1" applyFont="1" applyFill="1" applyBorder="1" applyAlignment="1">
      <alignment vertical="center"/>
    </xf>
    <xf numFmtId="0" fontId="8" fillId="9" borderId="0" xfId="0" applyFont="1" applyFill="1" applyAlignment="1">
      <alignment vertical="top"/>
    </xf>
    <xf numFmtId="0" fontId="2" fillId="8" borderId="1" xfId="0" applyFont="1" applyFill="1" applyBorder="1" applyAlignment="1">
      <alignment horizontal="center" vertical="center"/>
    </xf>
    <xf numFmtId="0" fontId="5" fillId="8" borderId="1" xfId="0" applyFont="1" applyFill="1" applyBorder="1" applyAlignment="1">
      <alignment horizontal="left" vertical="center"/>
    </xf>
    <xf numFmtId="165" fontId="2" fillId="8" borderId="1" xfId="2" applyNumberFormat="1" applyFont="1" applyFill="1" applyBorder="1" applyAlignment="1">
      <alignment horizontal="right" vertical="center"/>
    </xf>
    <xf numFmtId="166" fontId="2" fillId="8" borderId="1" xfId="2" applyNumberFormat="1" applyFont="1" applyFill="1" applyBorder="1" applyAlignment="1">
      <alignment horizontal="right" vertical="center"/>
    </xf>
    <xf numFmtId="37" fontId="2" fillId="8" borderId="1" xfId="0" applyNumberFormat="1" applyFont="1" applyFill="1" applyBorder="1" applyAlignment="1">
      <alignment horizontal="center" vertical="center"/>
    </xf>
    <xf numFmtId="0" fontId="8" fillId="0" borderId="21" xfId="0" quotePrefix="1" applyFont="1" applyFill="1" applyBorder="1" applyAlignment="1">
      <alignment horizontal="center" vertical="center"/>
    </xf>
    <xf numFmtId="0" fontId="8" fillId="0" borderId="21" xfId="0" applyFont="1" applyFill="1" applyBorder="1" applyAlignment="1">
      <alignment horizontal="left" vertical="center"/>
    </xf>
    <xf numFmtId="165" fontId="8" fillId="0" borderId="21" xfId="0" applyNumberFormat="1" applyFont="1" applyFill="1" applyBorder="1" applyAlignment="1">
      <alignment horizontal="right" vertical="center"/>
    </xf>
    <xf numFmtId="164" fontId="8" fillId="0" borderId="21" xfId="0" applyNumberFormat="1" applyFont="1" applyFill="1" applyBorder="1" applyAlignment="1">
      <alignment vertical="center"/>
    </xf>
    <xf numFmtId="37" fontId="8" fillId="0" borderId="21" xfId="0" applyNumberFormat="1" applyFont="1" applyFill="1" applyBorder="1" applyAlignment="1">
      <alignment horizontal="center" vertical="center"/>
    </xf>
    <xf numFmtId="0" fontId="8" fillId="0" borderId="4" xfId="0" applyFont="1" applyFill="1" applyBorder="1" applyAlignment="1">
      <alignment horizontal="left" vertical="center" wrapText="1"/>
    </xf>
    <xf numFmtId="165" fontId="8" fillId="0" borderId="4" xfId="0" applyNumberFormat="1" applyFont="1" applyFill="1" applyBorder="1" applyAlignment="1">
      <alignment horizontal="right" vertical="center"/>
    </xf>
    <xf numFmtId="164" fontId="8" fillId="0" borderId="4" xfId="0" applyNumberFormat="1" applyFont="1" applyFill="1" applyBorder="1" applyAlignment="1">
      <alignment vertical="center"/>
    </xf>
    <xf numFmtId="37" fontId="8" fillId="0" borderId="4" xfId="0" applyNumberFormat="1" applyFont="1" applyFill="1" applyBorder="1" applyAlignment="1">
      <alignment horizontal="center" vertical="center"/>
    </xf>
    <xf numFmtId="164" fontId="8" fillId="0" borderId="4" xfId="0" applyNumberFormat="1" applyFont="1" applyFill="1" applyBorder="1" applyAlignment="1">
      <alignment horizontal="right" vertical="center"/>
    </xf>
    <xf numFmtId="0" fontId="6" fillId="0" borderId="4" xfId="0" quotePrefix="1" applyFont="1" applyFill="1" applyBorder="1" applyAlignment="1">
      <alignment horizontal="center" vertical="center"/>
    </xf>
    <xf numFmtId="0" fontId="6" fillId="0" borderId="4" xfId="0" quotePrefix="1" applyFont="1" applyFill="1" applyBorder="1" applyAlignment="1">
      <alignment horizontal="left" vertical="center"/>
    </xf>
    <xf numFmtId="37" fontId="6" fillId="0" borderId="4" xfId="0" applyNumberFormat="1" applyFont="1" applyFill="1" applyBorder="1" applyAlignment="1">
      <alignment horizontal="center" vertical="center"/>
    </xf>
    <xf numFmtId="0" fontId="6" fillId="0" borderId="0" xfId="0" applyFont="1" applyFill="1" applyAlignment="1">
      <alignment vertical="top"/>
    </xf>
    <xf numFmtId="0" fontId="8" fillId="0" borderId="4" xfId="0" applyFont="1" applyFill="1" applyBorder="1" applyAlignment="1">
      <alignment horizontal="left" vertical="center"/>
    </xf>
    <xf numFmtId="0" fontId="8" fillId="0" borderId="4" xfId="0" applyFont="1" applyFill="1" applyBorder="1" applyAlignment="1">
      <alignment horizontal="center" vertical="center"/>
    </xf>
    <xf numFmtId="37" fontId="2" fillId="0" borderId="4" xfId="0" applyNumberFormat="1" applyFont="1" applyFill="1" applyBorder="1" applyAlignment="1">
      <alignment horizontal="center" vertical="center"/>
    </xf>
    <xf numFmtId="166" fontId="6" fillId="0" borderId="2" xfId="2" applyNumberFormat="1" applyFont="1" applyFill="1" applyBorder="1" applyAlignment="1">
      <alignment horizontal="center" vertical="center"/>
    </xf>
    <xf numFmtId="166" fontId="8" fillId="0" borderId="2" xfId="2" applyNumberFormat="1" applyFont="1" applyFill="1" applyBorder="1" applyAlignment="1">
      <alignment horizontal="left" vertical="center"/>
    </xf>
    <xf numFmtId="165" fontId="8" fillId="0" borderId="2" xfId="0" applyNumberFormat="1" applyFont="1" applyFill="1" applyBorder="1" applyAlignment="1">
      <alignment horizontal="right" vertical="center"/>
    </xf>
    <xf numFmtId="164" fontId="8" fillId="0" borderId="2" xfId="0" applyNumberFormat="1" applyFont="1" applyFill="1" applyBorder="1" applyAlignment="1">
      <alignment vertical="center"/>
    </xf>
    <xf numFmtId="37" fontId="2" fillId="0" borderId="2" xfId="0" applyNumberFormat="1" applyFont="1" applyFill="1" applyBorder="1" applyAlignment="1">
      <alignment horizontal="center" vertical="center"/>
    </xf>
    <xf numFmtId="165" fontId="2" fillId="8" borderId="1" xfId="0" applyNumberFormat="1" applyFont="1" applyFill="1" applyBorder="1" applyAlignment="1">
      <alignment horizontal="right" vertical="center"/>
    </xf>
    <xf numFmtId="164" fontId="2" fillId="8" borderId="1" xfId="0" applyNumberFormat="1" applyFont="1" applyFill="1" applyBorder="1" applyAlignment="1">
      <alignment vertical="center"/>
    </xf>
    <xf numFmtId="0" fontId="8" fillId="0" borderId="21" xfId="0" quotePrefix="1" applyFont="1" applyBorder="1" applyAlignment="1">
      <alignment horizontal="center" vertical="center"/>
    </xf>
    <xf numFmtId="0" fontId="8" fillId="0" borderId="21" xfId="0" applyFont="1" applyBorder="1" applyAlignment="1">
      <alignment horizontal="left" vertical="center"/>
    </xf>
    <xf numFmtId="164" fontId="8" fillId="0" borderId="21" xfId="0" applyNumberFormat="1" applyFont="1" applyBorder="1" applyAlignment="1">
      <alignment vertical="center"/>
    </xf>
    <xf numFmtId="37" fontId="8" fillId="0" borderId="21" xfId="0" applyNumberFormat="1" applyFont="1" applyBorder="1" applyAlignment="1">
      <alignment horizontal="center" vertical="center"/>
    </xf>
    <xf numFmtId="0" fontId="8" fillId="0" borderId="4" xfId="0" quotePrefix="1" applyFont="1" applyBorder="1" applyAlignment="1">
      <alignment horizontal="center" vertical="center"/>
    </xf>
    <xf numFmtId="0" fontId="8" fillId="0" borderId="4" xfId="0" applyFont="1" applyBorder="1" applyAlignment="1">
      <alignment horizontal="left" vertical="center"/>
    </xf>
    <xf numFmtId="164" fontId="8" fillId="0" borderId="4" xfId="0" applyNumberFormat="1" applyFont="1" applyBorder="1" applyAlignment="1">
      <alignment vertical="center"/>
    </xf>
    <xf numFmtId="37" fontId="8" fillId="0" borderId="4" xfId="0" applyNumberFormat="1" applyFont="1" applyBorder="1" applyAlignment="1">
      <alignment horizontal="center" vertical="center"/>
    </xf>
    <xf numFmtId="0" fontId="2" fillId="0" borderId="4" xfId="0" quotePrefix="1" applyFont="1" applyBorder="1" applyAlignment="1">
      <alignment horizontal="center" vertical="center"/>
    </xf>
    <xf numFmtId="0" fontId="8" fillId="0" borderId="2" xfId="0" applyFont="1" applyBorder="1" applyAlignment="1">
      <alignment horizontal="center" vertical="center"/>
    </xf>
    <xf numFmtId="0" fontId="8" fillId="0" borderId="2" xfId="0" quotePrefix="1" applyFont="1" applyBorder="1" applyAlignment="1">
      <alignment horizontal="left" vertical="center"/>
    </xf>
    <xf numFmtId="37" fontId="2" fillId="0" borderId="2" xfId="0" applyNumberFormat="1" applyFont="1" applyBorder="1" applyAlignment="1">
      <alignment horizontal="center" vertical="center"/>
    </xf>
    <xf numFmtId="0" fontId="8" fillId="0" borderId="26" xfId="0" applyFont="1" applyBorder="1" applyAlignment="1">
      <alignment horizontal="center" vertical="center"/>
    </xf>
    <xf numFmtId="0" fontId="8" fillId="0" borderId="26" xfId="0" applyFont="1" applyBorder="1" applyAlignment="1">
      <alignment vertical="top"/>
    </xf>
    <xf numFmtId="164" fontId="8" fillId="0" borderId="26" xfId="0" applyNumberFormat="1" applyFont="1" applyBorder="1" applyAlignment="1">
      <alignment vertical="top"/>
    </xf>
    <xf numFmtId="37" fontId="2" fillId="0" borderId="26" xfId="0" applyNumberFormat="1" applyFont="1" applyBorder="1" applyAlignment="1">
      <alignment vertical="top"/>
    </xf>
    <xf numFmtId="37" fontId="2" fillId="0" borderId="26" xfId="0" applyNumberFormat="1" applyFont="1" applyBorder="1" applyAlignment="1">
      <alignment horizontal="center" vertical="center"/>
    </xf>
    <xf numFmtId="164" fontId="8" fillId="0" borderId="0" xfId="0" applyNumberFormat="1" applyFont="1" applyAlignment="1">
      <alignment vertical="top"/>
    </xf>
    <xf numFmtId="37" fontId="8" fillId="0" borderId="0" xfId="0" applyNumberFormat="1" applyFont="1" applyAlignment="1">
      <alignment vertical="top"/>
    </xf>
    <xf numFmtId="37" fontId="8" fillId="0" borderId="0" xfId="0" applyNumberFormat="1" applyFont="1" applyAlignment="1">
      <alignment horizontal="center" vertical="top"/>
    </xf>
    <xf numFmtId="40" fontId="8" fillId="0" borderId="0" xfId="0" applyNumberFormat="1" applyFont="1" applyAlignment="1">
      <alignment vertical="top"/>
    </xf>
    <xf numFmtId="0" fontId="33" fillId="0" borderId="4" xfId="0" applyFont="1" applyFill="1" applyBorder="1" applyAlignment="1">
      <alignment horizontal="center" vertical="top"/>
    </xf>
    <xf numFmtId="0" fontId="32" fillId="0" borderId="0" xfId="0" quotePrefix="1" applyFont="1" applyAlignment="1">
      <alignment horizontal="left"/>
    </xf>
    <xf numFmtId="0" fontId="46" fillId="0" borderId="0" xfId="0" applyFont="1" applyAlignment="1">
      <alignment horizontal="center"/>
    </xf>
    <xf numFmtId="0" fontId="47" fillId="0" borderId="0" xfId="8" applyFont="1" applyFill="1"/>
    <xf numFmtId="0" fontId="8" fillId="0" borderId="0" xfId="0" applyFont="1" applyBorder="1" applyAlignment="1"/>
    <xf numFmtId="0" fontId="33" fillId="0" borderId="4" xfId="0" applyFont="1" applyFill="1" applyBorder="1" applyAlignment="1">
      <alignment horizontal="center" vertical="top"/>
    </xf>
    <xf numFmtId="0" fontId="33" fillId="0" borderId="0" xfId="0" applyFont="1" applyFill="1" applyBorder="1" applyAlignment="1">
      <alignment horizontal="center" vertical="top"/>
    </xf>
    <xf numFmtId="0" fontId="33" fillId="0" borderId="0" xfId="0" applyFont="1" applyFill="1" applyBorder="1" applyAlignment="1">
      <alignment vertical="top" wrapText="1"/>
    </xf>
    <xf numFmtId="165" fontId="9" fillId="0" borderId="0" xfId="1" applyFont="1" applyFill="1" applyBorder="1" applyAlignment="1">
      <alignment vertical="top"/>
    </xf>
    <xf numFmtId="0" fontId="33" fillId="0" borderId="0" xfId="0" applyFont="1" applyFill="1" applyBorder="1" applyAlignment="1">
      <alignment horizontal="left" vertical="top" wrapText="1"/>
    </xf>
    <xf numFmtId="0" fontId="33" fillId="0" borderId="11" xfId="0" applyFont="1" applyFill="1" applyBorder="1" applyAlignment="1">
      <alignment horizontal="center" vertical="top"/>
    </xf>
    <xf numFmtId="0" fontId="33" fillId="0" borderId="11" xfId="0" applyFont="1" applyFill="1" applyBorder="1" applyAlignment="1">
      <alignment vertical="top" wrapText="1"/>
    </xf>
    <xf numFmtId="165" fontId="9" fillId="0" borderId="11" xfId="1" applyFont="1" applyFill="1" applyBorder="1" applyAlignment="1">
      <alignment vertical="top"/>
    </xf>
    <xf numFmtId="0" fontId="48" fillId="0" borderId="0" xfId="0" applyFont="1"/>
    <xf numFmtId="165" fontId="33" fillId="0" borderId="0" xfId="1" applyFont="1" applyBorder="1" applyAlignment="1">
      <alignment vertical="center"/>
    </xf>
    <xf numFmtId="0" fontId="33" fillId="0" borderId="0" xfId="0" applyFont="1" applyBorder="1" applyAlignment="1">
      <alignment horizontal="center" vertical="center" wrapText="1"/>
    </xf>
    <xf numFmtId="0" fontId="33" fillId="0" borderId="0" xfId="0" applyFont="1" applyBorder="1" applyAlignment="1">
      <alignment horizontal="left" vertical="center" wrapText="1"/>
    </xf>
    <xf numFmtId="0" fontId="39" fillId="11" borderId="6" xfId="0" applyFont="1" applyFill="1" applyBorder="1" applyAlignment="1">
      <alignment horizontal="center" vertical="center"/>
    </xf>
    <xf numFmtId="0" fontId="39" fillId="11" borderId="7" xfId="0" applyFont="1" applyFill="1" applyBorder="1" applyAlignment="1">
      <alignment horizontal="center" vertical="center"/>
    </xf>
    <xf numFmtId="0" fontId="2" fillId="13" borderId="6" xfId="0" applyFont="1" applyFill="1" applyBorder="1" applyAlignment="1">
      <alignment horizontal="center"/>
    </xf>
    <xf numFmtId="0" fontId="33" fillId="0" borderId="4" xfId="0" applyFont="1" applyFill="1" applyBorder="1" applyAlignment="1">
      <alignment horizontal="center" vertical="top"/>
    </xf>
    <xf numFmtId="0" fontId="10" fillId="11" borderId="1" xfId="0" applyFont="1" applyFill="1" applyBorder="1" applyAlignment="1">
      <alignment horizontal="center" vertical="center"/>
    </xf>
    <xf numFmtId="0" fontId="10" fillId="11" borderId="1" xfId="0" applyFont="1" applyFill="1" applyBorder="1" applyAlignment="1">
      <alignment horizontal="center" vertical="center" wrapText="1"/>
    </xf>
    <xf numFmtId="0" fontId="2" fillId="0" borderId="6" xfId="0" applyFont="1" applyBorder="1" applyAlignment="1">
      <alignment horizontal="center"/>
    </xf>
    <xf numFmtId="0" fontId="49" fillId="0" borderId="0" xfId="0" applyFont="1"/>
    <xf numFmtId="0" fontId="50" fillId="0" borderId="0" xfId="0" applyFont="1"/>
    <xf numFmtId="0" fontId="51" fillId="0" borderId="0" xfId="0" applyFont="1" applyAlignment="1">
      <alignment horizontal="center"/>
    </xf>
    <xf numFmtId="0" fontId="10" fillId="11" borderId="1" xfId="0" applyFont="1" applyFill="1" applyBorder="1" applyAlignment="1">
      <alignment horizontal="center" vertical="center"/>
    </xf>
    <xf numFmtId="0" fontId="10" fillId="11" borderId="1" xfId="0" applyFont="1" applyFill="1" applyBorder="1" applyAlignment="1">
      <alignment horizontal="center" vertical="center" wrapText="1"/>
    </xf>
    <xf numFmtId="0" fontId="33" fillId="0" borderId="15" xfId="0" applyFont="1" applyBorder="1" applyAlignment="1">
      <alignment horizontal="center"/>
    </xf>
    <xf numFmtId="0" fontId="33" fillId="0" borderId="8" xfId="0" applyFont="1" applyFill="1" applyBorder="1" applyAlignment="1">
      <alignment horizontal="center" vertical="top"/>
    </xf>
    <xf numFmtId="0" fontId="0" fillId="0" borderId="8" xfId="0" applyFill="1" applyBorder="1" applyAlignment="1">
      <alignment horizontal="center"/>
    </xf>
    <xf numFmtId="0" fontId="53" fillId="0" borderId="0" xfId="0" applyFont="1" applyAlignment="1">
      <alignment horizontal="center"/>
    </xf>
    <xf numFmtId="0" fontId="53" fillId="0" borderId="0" xfId="0" applyFont="1" applyAlignment="1">
      <alignment horizontal="left"/>
    </xf>
    <xf numFmtId="0" fontId="8" fillId="0" borderId="8" xfId="0" applyFont="1" applyFill="1" applyBorder="1" applyAlignment="1">
      <alignment horizontal="left" vertical="top" wrapText="1"/>
    </xf>
    <xf numFmtId="0" fontId="8" fillId="0" borderId="4" xfId="0" applyFont="1" applyFill="1" applyBorder="1" applyAlignment="1">
      <alignment horizontal="left" vertical="top" wrapText="1"/>
    </xf>
    <xf numFmtId="0" fontId="53" fillId="0" borderId="0" xfId="8" applyFont="1" applyFill="1"/>
    <xf numFmtId="0" fontId="8" fillId="0" borderId="0" xfId="0" quotePrefix="1" applyFont="1" applyAlignment="1">
      <alignment horizontal="center"/>
    </xf>
    <xf numFmtId="0" fontId="53" fillId="0" borderId="0" xfId="8" applyNumberFormat="1" applyFont="1" applyFill="1"/>
    <xf numFmtId="0" fontId="54" fillId="0" borderId="0" xfId="0" applyFont="1"/>
    <xf numFmtId="0" fontId="53" fillId="0" borderId="0" xfId="8" applyFont="1"/>
    <xf numFmtId="0" fontId="55" fillId="0" borderId="0" xfId="0" applyFont="1" applyAlignment="1">
      <alignment horizontal="center"/>
    </xf>
    <xf numFmtId="0" fontId="56" fillId="0" borderId="0" xfId="8" applyFont="1" applyFill="1"/>
    <xf numFmtId="0" fontId="33" fillId="0" borderId="14" xfId="0" applyFont="1" applyFill="1" applyBorder="1" applyAlignment="1">
      <alignment vertical="center" wrapText="1"/>
    </xf>
    <xf numFmtId="0" fontId="53" fillId="0" borderId="0" xfId="0" applyFont="1" applyFill="1" applyAlignment="1">
      <alignment horizontal="center"/>
    </xf>
    <xf numFmtId="0" fontId="53" fillId="0" borderId="0" xfId="0" applyFont="1" applyFill="1" applyAlignment="1">
      <alignment horizontal="left"/>
    </xf>
    <xf numFmtId="0" fontId="57" fillId="0" borderId="0" xfId="0" applyFont="1" applyFill="1"/>
    <xf numFmtId="0" fontId="54" fillId="0" borderId="0" xfId="0" applyFont="1" applyFill="1"/>
    <xf numFmtId="0" fontId="56" fillId="0" borderId="0" xfId="0" applyFont="1" applyFill="1" applyAlignment="1">
      <alignment horizontal="left"/>
    </xf>
    <xf numFmtId="0" fontId="53" fillId="0" borderId="0" xfId="0" applyFont="1" applyAlignment="1">
      <alignment horizontal="center" vertical="top"/>
    </xf>
    <xf numFmtId="0" fontId="54" fillId="0" borderId="0" xfId="0" applyFont="1" applyAlignment="1">
      <alignment horizontal="left"/>
    </xf>
    <xf numFmtId="0" fontId="33" fillId="0" borderId="15" xfId="0" applyFont="1" applyBorder="1" applyAlignment="1">
      <alignment horizontal="center"/>
    </xf>
    <xf numFmtId="0" fontId="53" fillId="0" borderId="0" xfId="8" quotePrefix="1" applyFont="1" applyFill="1"/>
    <xf numFmtId="0" fontId="52" fillId="14" borderId="0" xfId="0" applyFont="1" applyFill="1"/>
    <xf numFmtId="0" fontId="48" fillId="0" borderId="1" xfId="0" applyFont="1" applyBorder="1" applyAlignment="1">
      <alignment horizontal="center" vertical="center"/>
    </xf>
    <xf numFmtId="0" fontId="48" fillId="0" borderId="1" xfId="0" applyFont="1" applyBorder="1" applyAlignment="1">
      <alignment vertical="center" wrapText="1"/>
    </xf>
    <xf numFmtId="165" fontId="48" fillId="0" borderId="1" xfId="1" applyFont="1" applyBorder="1" applyAlignment="1">
      <alignment vertical="center"/>
    </xf>
    <xf numFmtId="0" fontId="48" fillId="0" borderId="1" xfId="0" applyFont="1" applyBorder="1" applyAlignment="1">
      <alignment horizontal="center" vertical="center" wrapText="1"/>
    </xf>
    <xf numFmtId="0" fontId="58" fillId="0" borderId="1" xfId="0" applyFont="1" applyBorder="1" applyAlignment="1">
      <alignment horizontal="center" vertical="center"/>
    </xf>
    <xf numFmtId="0" fontId="58" fillId="0" borderId="1" xfId="0" applyFont="1" applyBorder="1" applyAlignment="1">
      <alignment vertical="center" wrapText="1"/>
    </xf>
    <xf numFmtId="0" fontId="58" fillId="0" borderId="1" xfId="0" applyFont="1" applyBorder="1" applyAlignment="1">
      <alignment horizontal="center" vertical="center" wrapText="1"/>
    </xf>
    <xf numFmtId="0" fontId="38" fillId="0" borderId="0" xfId="0" applyFont="1"/>
    <xf numFmtId="0" fontId="38" fillId="0" borderId="1" xfId="0" applyFont="1" applyBorder="1" applyAlignment="1">
      <alignment vertical="center" wrapText="1"/>
    </xf>
    <xf numFmtId="49" fontId="38" fillId="0" borderId="1" xfId="0" applyNumberFormat="1" applyFont="1" applyBorder="1" applyAlignment="1">
      <alignment horizontal="center" vertical="center"/>
    </xf>
    <xf numFmtId="0" fontId="31" fillId="0" borderId="0" xfId="0" applyFont="1" applyFill="1"/>
    <xf numFmtId="165" fontId="33" fillId="15" borderId="1" xfId="0" applyNumberFormat="1" applyFont="1" applyFill="1" applyBorder="1" applyAlignment="1">
      <alignment horizontal="right" vertical="center"/>
    </xf>
    <xf numFmtId="165" fontId="38" fillId="15" borderId="1" xfId="0" applyNumberFormat="1" applyFont="1" applyFill="1" applyBorder="1" applyAlignment="1">
      <alignment horizontal="right" vertical="center"/>
    </xf>
    <xf numFmtId="166" fontId="33" fillId="15" borderId="1" xfId="0" applyNumberFormat="1" applyFont="1" applyFill="1" applyBorder="1" applyAlignment="1">
      <alignment horizontal="right" vertical="center"/>
    </xf>
    <xf numFmtId="165" fontId="58" fillId="15" borderId="1" xfId="1" applyFont="1" applyFill="1" applyBorder="1" applyAlignment="1">
      <alignment vertical="center"/>
    </xf>
    <xf numFmtId="0" fontId="33" fillId="0" borderId="18" xfId="0" applyFont="1" applyBorder="1" applyAlignment="1">
      <alignment horizontal="center"/>
    </xf>
    <xf numFmtId="0" fontId="33" fillId="0" borderId="10" xfId="0" applyFont="1" applyBorder="1" applyAlignment="1">
      <alignment horizontal="center"/>
    </xf>
    <xf numFmtId="165" fontId="6" fillId="15" borderId="0" xfId="2" applyNumberFormat="1" applyFont="1" applyFill="1" applyBorder="1" applyAlignment="1">
      <alignment vertical="top"/>
    </xf>
    <xf numFmtId="0" fontId="8" fillId="0" borderId="8" xfId="0" quotePrefix="1" applyFont="1" applyFill="1" applyBorder="1" applyAlignment="1">
      <alignment horizontal="center" vertical="center"/>
    </xf>
    <xf numFmtId="0" fontId="8" fillId="0" borderId="8" xfId="0" applyFont="1" applyFill="1" applyBorder="1" applyAlignment="1">
      <alignment horizontal="left" vertical="center"/>
    </xf>
    <xf numFmtId="165" fontId="8" fillId="0" borderId="8" xfId="0" applyNumberFormat="1" applyFont="1" applyFill="1" applyBorder="1" applyAlignment="1">
      <alignment horizontal="right" vertical="center"/>
    </xf>
    <xf numFmtId="164" fontId="8" fillId="0" borderId="8" xfId="0" applyNumberFormat="1" applyFont="1" applyFill="1" applyBorder="1" applyAlignment="1">
      <alignment vertical="center"/>
    </xf>
    <xf numFmtId="37" fontId="8" fillId="0" borderId="8" xfId="0" applyNumberFormat="1" applyFont="1" applyFill="1" applyBorder="1" applyAlignment="1">
      <alignment horizontal="center" vertical="center"/>
    </xf>
    <xf numFmtId="0" fontId="10" fillId="4" borderId="5" xfId="7" applyFont="1" applyFill="1" applyBorder="1" applyAlignment="1">
      <alignment horizontal="center" vertical="center"/>
    </xf>
    <xf numFmtId="0" fontId="10" fillId="4" borderId="11" xfId="7" applyFont="1" applyFill="1" applyBorder="1" applyAlignment="1">
      <alignment horizontal="center" vertical="center"/>
    </xf>
    <xf numFmtId="0" fontId="10" fillId="4" borderId="1" xfId="7" applyFont="1" applyFill="1" applyBorder="1" applyAlignment="1">
      <alignment horizontal="center" vertical="center"/>
    </xf>
    <xf numFmtId="0" fontId="39" fillId="11" borderId="6" xfId="0" applyFont="1" applyFill="1" applyBorder="1" applyAlignment="1">
      <alignment horizontal="center" vertical="center"/>
    </xf>
    <xf numFmtId="0" fontId="39" fillId="11" borderId="7" xfId="0" applyFont="1" applyFill="1" applyBorder="1" applyAlignment="1">
      <alignment horizontal="center" vertical="center"/>
    </xf>
    <xf numFmtId="0" fontId="10" fillId="2" borderId="18" xfId="0" applyFont="1" applyFill="1" applyBorder="1" applyAlignment="1">
      <alignment horizontal="center"/>
    </xf>
    <xf numFmtId="0" fontId="10" fillId="2" borderId="27" xfId="0" applyFont="1" applyFill="1" applyBorder="1" applyAlignment="1">
      <alignment horizontal="center"/>
    </xf>
    <xf numFmtId="0" fontId="53" fillId="0" borderId="0" xfId="8" applyNumberFormat="1" applyFont="1" applyFill="1" applyAlignment="1">
      <alignment horizontal="left" vertical="top" wrapText="1"/>
    </xf>
    <xf numFmtId="0" fontId="33" fillId="0" borderId="15" xfId="0" applyFont="1" applyFill="1" applyBorder="1" applyAlignment="1">
      <alignment horizontal="left" vertical="center"/>
    </xf>
    <xf numFmtId="0" fontId="33" fillId="0" borderId="24" xfId="0" applyFont="1" applyFill="1" applyBorder="1" applyAlignment="1">
      <alignment horizontal="left" vertical="center"/>
    </xf>
    <xf numFmtId="0" fontId="2" fillId="13" borderId="6" xfId="0" applyFont="1" applyFill="1" applyBorder="1" applyAlignment="1">
      <alignment horizontal="center"/>
    </xf>
    <xf numFmtId="0" fontId="2" fillId="13" borderId="7" xfId="0" applyFont="1" applyFill="1" applyBorder="1" applyAlignment="1">
      <alignment horizontal="center"/>
    </xf>
    <xf numFmtId="3" fontId="10" fillId="11" borderId="6" xfId="0" applyNumberFormat="1" applyFont="1" applyFill="1" applyBorder="1" applyAlignment="1">
      <alignment horizontal="center" vertical="center"/>
    </xf>
    <xf numFmtId="3" fontId="10" fillId="11" borderId="16" xfId="0" applyNumberFormat="1" applyFont="1" applyFill="1" applyBorder="1" applyAlignment="1">
      <alignment horizontal="center" vertical="center"/>
    </xf>
    <xf numFmtId="3" fontId="10" fillId="11" borderId="7" xfId="0" applyNumberFormat="1" applyFont="1" applyFill="1" applyBorder="1" applyAlignment="1">
      <alignment horizontal="center" vertical="center"/>
    </xf>
    <xf numFmtId="0" fontId="33" fillId="0" borderId="1" xfId="0" applyFont="1" applyBorder="1" applyAlignment="1">
      <alignment horizontal="center" vertical="center" wrapText="1"/>
    </xf>
    <xf numFmtId="0" fontId="38" fillId="0" borderId="1" xfId="0" applyFont="1" applyBorder="1" applyAlignment="1">
      <alignment horizontal="center" vertical="center" wrapText="1"/>
    </xf>
    <xf numFmtId="0" fontId="4" fillId="0" borderId="0" xfId="0" applyFont="1" applyFill="1" applyAlignment="1">
      <alignment horizontal="center"/>
    </xf>
    <xf numFmtId="0" fontId="33" fillId="0" borderId="2" xfId="0" applyFont="1" applyFill="1" applyBorder="1" applyAlignment="1">
      <alignment horizontal="left" vertical="top" wrapText="1"/>
    </xf>
    <xf numFmtId="0" fontId="33" fillId="0" borderId="11" xfId="0" applyFont="1" applyFill="1" applyBorder="1" applyAlignment="1">
      <alignment horizontal="center" vertical="top"/>
    </xf>
    <xf numFmtId="0" fontId="33" fillId="0" borderId="4" xfId="0" applyFont="1" applyFill="1" applyBorder="1" applyAlignment="1">
      <alignment horizontal="left" vertical="top" wrapText="1"/>
    </xf>
    <xf numFmtId="0" fontId="39" fillId="11" borderId="6" xfId="0" applyFont="1" applyFill="1" applyBorder="1" applyAlignment="1">
      <alignment horizontal="center" vertical="center" wrapText="1"/>
    </xf>
    <xf numFmtId="0" fontId="39" fillId="11" borderId="7" xfId="0" applyFont="1" applyFill="1" applyBorder="1" applyAlignment="1">
      <alignment horizontal="center" vertical="center" wrapText="1"/>
    </xf>
    <xf numFmtId="0" fontId="33" fillId="0" borderId="4" xfId="0" applyFont="1" applyFill="1" applyBorder="1" applyAlignment="1">
      <alignment horizontal="center" vertical="top"/>
    </xf>
    <xf numFmtId="0" fontId="4" fillId="0" borderId="0" xfId="0" applyFont="1" applyAlignment="1">
      <alignment horizontal="center"/>
    </xf>
    <xf numFmtId="0" fontId="10" fillId="11" borderId="1" xfId="0" applyFont="1" applyFill="1" applyBorder="1" applyAlignment="1">
      <alignment horizontal="center" vertical="center"/>
    </xf>
    <xf numFmtId="0" fontId="10" fillId="11" borderId="1" xfId="0" applyFont="1" applyFill="1" applyBorder="1" applyAlignment="1">
      <alignment horizontal="center" vertical="center" wrapText="1"/>
    </xf>
    <xf numFmtId="0" fontId="2" fillId="5" borderId="16" xfId="0" applyFont="1" applyFill="1" applyBorder="1" applyAlignment="1">
      <alignment horizontal="center"/>
    </xf>
    <xf numFmtId="0" fontId="4" fillId="3" borderId="0" xfId="0" applyFont="1" applyFill="1" applyAlignment="1">
      <alignment horizontal="center" vertical="top"/>
    </xf>
    <xf numFmtId="0" fontId="10" fillId="11" borderId="5" xfId="0" applyFont="1" applyFill="1" applyBorder="1" applyAlignment="1">
      <alignment horizontal="center" vertical="center"/>
    </xf>
    <xf numFmtId="0" fontId="10" fillId="4" borderId="11" xfId="0" applyFont="1" applyFill="1" applyBorder="1" applyAlignment="1">
      <alignment horizontal="center" vertical="center"/>
    </xf>
    <xf numFmtId="0" fontId="33" fillId="0" borderId="15" xfId="0" applyFont="1" applyBorder="1" applyAlignment="1">
      <alignment horizontal="left"/>
    </xf>
    <xf numFmtId="0" fontId="33" fillId="0" borderId="24" xfId="0" applyFont="1" applyBorder="1" applyAlignment="1">
      <alignment horizontal="left"/>
    </xf>
    <xf numFmtId="0" fontId="33" fillId="0" borderId="15" xfId="0" applyFont="1" applyBorder="1" applyAlignment="1">
      <alignment horizontal="center"/>
    </xf>
    <xf numFmtId="0" fontId="33" fillId="0" borderId="24" xfId="0" applyFont="1" applyBorder="1" applyAlignment="1">
      <alignment horizontal="center"/>
    </xf>
    <xf numFmtId="0" fontId="33" fillId="0" borderId="14" xfId="0" applyFont="1" applyBorder="1" applyAlignment="1">
      <alignment horizontal="center"/>
    </xf>
    <xf numFmtId="0" fontId="33" fillId="0" borderId="23" xfId="0" applyFont="1" applyBorder="1" applyAlignment="1">
      <alignment horizontal="center"/>
    </xf>
    <xf numFmtId="0" fontId="2" fillId="0" borderId="6" xfId="0" applyFont="1" applyBorder="1" applyAlignment="1">
      <alignment horizontal="center"/>
    </xf>
    <xf numFmtId="0" fontId="2" fillId="0" borderId="7" xfId="0" applyFont="1" applyBorder="1" applyAlignment="1">
      <alignment horizontal="center"/>
    </xf>
    <xf numFmtId="0" fontId="9" fillId="0" borderId="0" xfId="0" applyFont="1" applyAlignment="1">
      <alignment horizontal="left" wrapText="1"/>
    </xf>
    <xf numFmtId="0" fontId="10" fillId="2" borderId="6" xfId="0" applyFont="1" applyFill="1" applyBorder="1" applyAlignment="1">
      <alignment horizontal="center" vertical="center"/>
    </xf>
    <xf numFmtId="0" fontId="10" fillId="2" borderId="7" xfId="0" applyFont="1" applyFill="1" applyBorder="1" applyAlignment="1">
      <alignment horizontal="center" vertical="center"/>
    </xf>
    <xf numFmtId="0" fontId="33" fillId="0" borderId="13" xfId="0" applyFont="1" applyBorder="1" applyAlignment="1">
      <alignment horizontal="center"/>
    </xf>
    <xf numFmtId="0" fontId="33" fillId="0" borderId="22" xfId="0" applyFont="1" applyBorder="1" applyAlignment="1">
      <alignment horizontal="center"/>
    </xf>
  </cellXfs>
  <cellStyles count="11">
    <cellStyle name="Comma" xfId="1" builtinId="3"/>
    <cellStyle name="Comma 10" xfId="2"/>
    <cellStyle name="Comma 20" xfId="3"/>
    <cellStyle name="Comma 3" xfId="4"/>
    <cellStyle name="Normal" xfId="0" builtinId="0"/>
    <cellStyle name="Normal 2 2 2" xfId="5"/>
    <cellStyle name="Normal_Aedas-10-Accruals-W1803NNH" xfId="6"/>
    <cellStyle name="Normal_Aedas-Depreciaton-W2903PNY" xfId="7"/>
    <cellStyle name="Normal_B5-FA Depreciation-2602PHN_1 2 2" xfId="8"/>
    <cellStyle name="Normal_Copy of Aedas_Expense without legitimate invoice_Summary PNY" xfId="9"/>
    <cellStyle name="Normal_GL 642730 - Repair &amp; Maintenance" xfId="1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57150</xdr:colOff>
      <xdr:row>68</xdr:row>
      <xdr:rowOff>0</xdr:rowOff>
    </xdr:from>
    <xdr:to>
      <xdr:col>6</xdr:col>
      <xdr:colOff>247650</xdr:colOff>
      <xdr:row>68</xdr:row>
      <xdr:rowOff>0</xdr:rowOff>
    </xdr:to>
    <xdr:sp macro="" textlink="">
      <xdr:nvSpPr>
        <xdr:cNvPr id="2" name="Text Box 1"/>
        <xdr:cNvSpPr txBox="1">
          <a:spLocks noChangeArrowheads="1"/>
        </xdr:cNvSpPr>
      </xdr:nvSpPr>
      <xdr:spPr bwMode="auto">
        <a:xfrm>
          <a:off x="57150" y="13020675"/>
          <a:ext cx="7115175" cy="0"/>
        </a:xfrm>
        <a:prstGeom prst="rect">
          <a:avLst/>
        </a:prstGeom>
        <a:noFill/>
        <a:ln w="9525">
          <a:noFill/>
          <a:miter lim="800000"/>
          <a:headEnd/>
          <a:tailEnd/>
        </a:ln>
      </xdr:spPr>
      <xdr:txBody>
        <a:bodyPr vertOverflow="clip" wrap="square" lIns="27432" tIns="22860" rIns="0" bIns="0" anchor="t" upright="1"/>
        <a:lstStyle/>
        <a:p>
          <a:pPr algn="l" rtl="0">
            <a:defRPr sz="1000"/>
          </a:pPr>
          <a:r>
            <a:rPr lang="en-US" sz="800" b="0" i="0" u="none" strike="noStrike" baseline="0">
              <a:solidFill>
                <a:srgbClr val="000000"/>
              </a:solidFill>
              <a:latin typeface="Arial"/>
              <a:cs typeface="Arial"/>
            </a:rPr>
            <a:t>• Obtain the Company's tax audit minutes of the previous years (if available) to understand if there were any adjustments to this item and what item were subject to adjustments.</a:t>
          </a:r>
        </a:p>
        <a:p>
          <a:pPr algn="l" rtl="0">
            <a:defRPr sz="1000"/>
          </a:pPr>
          <a:r>
            <a:rPr lang="en-US" sz="800" b="0" i="0" u="none" strike="noStrike" baseline="0">
              <a:solidFill>
                <a:srgbClr val="000000"/>
              </a:solidFill>
              <a:latin typeface="Arial"/>
              <a:cs typeface="Arial"/>
            </a:rPr>
            <a:t>• Obtain the Company's trial balances and general ledger of randomly selected expense accounts</a:t>
          </a:r>
        </a:p>
        <a:p>
          <a:pPr algn="l" rtl="0">
            <a:defRPr sz="1000"/>
          </a:pPr>
          <a:r>
            <a:rPr lang="en-US" sz="800" b="0" i="0" u="none" strike="noStrike" baseline="0">
              <a:solidFill>
                <a:srgbClr val="000000"/>
              </a:solidFill>
              <a:latin typeface="Arial"/>
              <a:cs typeface="Arial"/>
            </a:rPr>
            <a:t>• Perform a sample review of supporting invoices of the Company's expenses and ensure that all the reviewed invoices are "legitimate" for CIT deduction purposes (e.g. a purchase of VND100,000 or more must be supported by a VAT invoices including all the statutory information).</a:t>
          </a:r>
        </a:p>
        <a:p>
          <a:pPr algn="l" rtl="0">
            <a:defRPr sz="1000"/>
          </a:pPr>
          <a:endParaRPr lang="en-US" sz="800" b="0" i="0" u="none" strike="noStrike" baseline="0">
            <a:solidFill>
              <a:srgbClr val="000000"/>
            </a:solidFill>
            <a:latin typeface="Arial"/>
            <a:cs typeface="Arial"/>
          </a:endParaRPr>
        </a:p>
        <a:p>
          <a:pPr algn="l" rtl="0">
            <a:defRPr sz="1000"/>
          </a:pPr>
          <a:endParaRPr lang="en-US" sz="800" b="0" i="0" u="none" strike="noStrike" baseline="0">
            <a:solidFill>
              <a:srgbClr val="000000"/>
            </a:solidFill>
            <a:latin typeface="Arial"/>
            <a:cs typeface="Arial"/>
          </a:endParaRPr>
        </a:p>
        <a:p>
          <a:pPr algn="l" rtl="0">
            <a:defRPr sz="1000"/>
          </a:pPr>
          <a:endParaRPr lang="en-US" sz="800" b="0" i="0" u="none" strike="noStrike" baseline="0">
            <a:solidFill>
              <a:srgbClr val="000000"/>
            </a:solidFill>
            <a:latin typeface="Arial"/>
            <a:cs typeface="Arial"/>
          </a:endParaRPr>
        </a:p>
        <a:p>
          <a:pPr algn="l" rtl="0">
            <a:defRPr sz="1000"/>
          </a:pPr>
          <a:endParaRPr lang="en-US" sz="800" b="0" i="0" u="none" strike="noStrike" baseline="0">
            <a:solidFill>
              <a:srgbClr val="000000"/>
            </a:solidFill>
            <a:latin typeface="Arial"/>
            <a:cs typeface="Arial"/>
          </a:endParaRPr>
        </a:p>
      </xdr:txBody>
    </xdr:sp>
    <xdr:clientData/>
  </xdr:twoCellAnchor>
  <xdr:twoCellAnchor>
    <xdr:from>
      <xdr:col>0</xdr:col>
      <xdr:colOff>85725</xdr:colOff>
      <xdr:row>68</xdr:row>
      <xdr:rowOff>0</xdr:rowOff>
    </xdr:from>
    <xdr:to>
      <xdr:col>6</xdr:col>
      <xdr:colOff>276225</xdr:colOff>
      <xdr:row>68</xdr:row>
      <xdr:rowOff>0</xdr:rowOff>
    </xdr:to>
    <xdr:sp macro="" textlink="">
      <xdr:nvSpPr>
        <xdr:cNvPr id="3" name="Text Box 2"/>
        <xdr:cNvSpPr txBox="1">
          <a:spLocks noChangeArrowheads="1"/>
        </xdr:cNvSpPr>
      </xdr:nvSpPr>
      <xdr:spPr bwMode="auto">
        <a:xfrm>
          <a:off x="85725" y="13020675"/>
          <a:ext cx="7115175" cy="0"/>
        </a:xfrm>
        <a:prstGeom prst="rect">
          <a:avLst/>
        </a:prstGeom>
        <a:noFill/>
        <a:ln w="9525">
          <a:noFill/>
          <a:miter lim="800000"/>
          <a:headEnd/>
          <a:tailEnd/>
        </a:ln>
      </xdr:spPr>
      <xdr:txBody>
        <a:bodyPr vertOverflow="clip" wrap="square" lIns="27432" tIns="22860" rIns="0" bIns="0" anchor="t" upright="1"/>
        <a:lstStyle/>
        <a:p>
          <a:pPr algn="l" rtl="0">
            <a:defRPr sz="1000"/>
          </a:pPr>
          <a:r>
            <a:rPr lang="en-US" sz="800" b="0" i="0" u="none" strike="noStrike" baseline="0">
              <a:solidFill>
                <a:srgbClr val="000000"/>
              </a:solidFill>
              <a:latin typeface="Arial"/>
              <a:cs typeface="Arial"/>
            </a:rPr>
            <a:t>• Obtain the list of auditor’s adjustments regarding revenue (if any).</a:t>
          </a:r>
        </a:p>
        <a:p>
          <a:pPr algn="l" rtl="0">
            <a:defRPr sz="1000"/>
          </a:pPr>
          <a:r>
            <a:rPr lang="en-US" sz="800" b="0" i="0" u="none" strike="noStrike" baseline="0">
              <a:solidFill>
                <a:srgbClr val="000000"/>
              </a:solidFill>
              <a:latin typeface="Arial"/>
              <a:cs typeface="Arial"/>
            </a:rPr>
            <a:t>• Reconciliation between revenue in P/L with accumulated revenue declared in monthly declaration.</a:t>
          </a:r>
        </a:p>
        <a:p>
          <a:pPr algn="l" rtl="0">
            <a:defRPr sz="1000"/>
          </a:pPr>
          <a:r>
            <a:rPr lang="en-US" sz="800" b="0" i="0" u="none" strike="noStrike" baseline="0">
              <a:solidFill>
                <a:srgbClr val="000000"/>
              </a:solidFill>
              <a:latin typeface="Arial"/>
              <a:cs typeface="Arial"/>
            </a:rPr>
            <a:t>• Points to consider:</a:t>
          </a:r>
        </a:p>
        <a:p>
          <a:pPr algn="l" rtl="0">
            <a:defRPr sz="1000"/>
          </a:pPr>
          <a:r>
            <a:rPr lang="en-US" sz="800" b="0" i="0" u="none" strike="noStrike" baseline="0">
              <a:solidFill>
                <a:srgbClr val="000000"/>
              </a:solidFill>
              <a:latin typeface="Arial"/>
              <a:cs typeface="Arial"/>
            </a:rPr>
            <a:t>- Sales recognition: Does the Company recognise its sales in accordance with the current CIT regulations? If not, an appropriate adjustment is required.</a:t>
          </a:r>
        </a:p>
        <a:p>
          <a:pPr algn="l" rtl="0">
            <a:defRPr sz="1000"/>
          </a:pPr>
          <a:r>
            <a:rPr lang="en-US" sz="800" b="0" i="0" u="none" strike="noStrike" baseline="0">
              <a:solidFill>
                <a:srgbClr val="000000"/>
              </a:solidFill>
              <a:latin typeface="Arial"/>
              <a:cs typeface="Arial"/>
            </a:rPr>
            <a:t>- Sales offset: Does the Company directly offset its Receivables against its Payables without recording to its revenue in the P/L accounts? If yes, an appropriate adjustment is required.</a:t>
          </a:r>
        </a:p>
        <a:p>
          <a:pPr algn="l" rtl="0">
            <a:defRPr sz="1000"/>
          </a:pPr>
          <a:r>
            <a:rPr lang="en-US" sz="800" b="0" i="0" u="none" strike="noStrike" baseline="0">
              <a:solidFill>
                <a:srgbClr val="000000"/>
              </a:solidFill>
              <a:latin typeface="Arial"/>
              <a:cs typeface="Arial"/>
            </a:rPr>
            <a:t>- Sales reduction: Does the Company maintain appropriate supporting documents for its sales discounts, sales allowance, and/or goods returned? If not, an appropriate adjustment is required.</a:t>
          </a:r>
        </a:p>
        <a:p>
          <a:pPr algn="l" rtl="0">
            <a:defRPr sz="1000"/>
          </a:pPr>
          <a:r>
            <a:rPr lang="en-US" sz="800" b="0" i="0" u="none" strike="noStrike" baseline="0">
              <a:solidFill>
                <a:srgbClr val="000000"/>
              </a:solidFill>
              <a:latin typeface="Arial"/>
              <a:cs typeface="Arial"/>
            </a:rPr>
            <a:t>- Other sales activities: Does the Company record have internal consumption or give gifts/presents to its employees and/or other third party, or sell goods and/or services on a deferred payment basis? Is the Company's sales recognised in accordance with the CIT regulations?  If not, an appropriate adjustment is required.</a:t>
          </a:r>
        </a:p>
      </xdr:txBody>
    </xdr:sp>
    <xdr:clientData/>
  </xdr:twoCellAnchor>
  <xdr:twoCellAnchor>
    <xdr:from>
      <xdr:col>1</xdr:col>
      <xdr:colOff>14655</xdr:colOff>
      <xdr:row>7</xdr:row>
      <xdr:rowOff>167464</xdr:rowOff>
    </xdr:from>
    <xdr:to>
      <xdr:col>6</xdr:col>
      <xdr:colOff>700455</xdr:colOff>
      <xdr:row>25</xdr:row>
      <xdr:rowOff>0</xdr:rowOff>
    </xdr:to>
    <xdr:sp macro="" textlink="">
      <xdr:nvSpPr>
        <xdr:cNvPr id="4" name="Round Diagonal Corner Rectangle 3"/>
        <xdr:cNvSpPr/>
      </xdr:nvSpPr>
      <xdr:spPr>
        <a:xfrm>
          <a:off x="262305" y="1605739"/>
          <a:ext cx="7362825" cy="3356786"/>
        </a:xfrm>
        <a:prstGeom prst="round2Diag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l"/>
          <a:r>
            <a:rPr lang="en-US" sz="1000" b="1" i="0">
              <a:latin typeface="Arial" pitchFamily="34" charset="0"/>
              <a:cs typeface="Arial" pitchFamily="34" charset="0"/>
            </a:rPr>
            <a:t>+  Recognition of taxable</a:t>
          </a:r>
          <a:r>
            <a:rPr lang="en-US" sz="1000" b="1" i="0" baseline="0">
              <a:latin typeface="Arial" pitchFamily="34" charset="0"/>
              <a:cs typeface="Arial" pitchFamily="34" charset="0"/>
            </a:rPr>
            <a:t> revenue for CIT purposes: </a:t>
          </a:r>
        </a:p>
        <a:p>
          <a:pPr algn="l"/>
          <a:endParaRPr lang="en-US" sz="1000" i="1" baseline="0">
            <a:latin typeface="Arial" pitchFamily="34" charset="0"/>
            <a:cs typeface="Arial" pitchFamily="34" charset="0"/>
          </a:endParaRPr>
        </a:p>
        <a:p>
          <a:pPr algn="l"/>
          <a:r>
            <a:rPr lang="en-US" sz="1000">
              <a:latin typeface="Arial" pitchFamily="34" charset="0"/>
              <a:cs typeface="Arial" pitchFamily="34" charset="0"/>
            </a:rPr>
            <a:t>- </a:t>
          </a:r>
          <a:r>
            <a:rPr lang="en-US" sz="1000">
              <a:solidFill>
                <a:srgbClr val="FFFF00"/>
              </a:solidFill>
              <a:latin typeface="Arial" pitchFamily="34" charset="0"/>
              <a:ea typeface="+mn-ea"/>
              <a:cs typeface="Arial" pitchFamily="34" charset="0"/>
            </a:rPr>
            <a:t>Sale of goods </a:t>
          </a:r>
          <a:r>
            <a:rPr lang="en-US" sz="1000">
              <a:latin typeface="Arial" pitchFamily="34" charset="0"/>
              <a:cs typeface="Arial" pitchFamily="34" charset="0"/>
            </a:rPr>
            <a:t>must be </a:t>
          </a:r>
          <a:r>
            <a:rPr lang="en-US" sz="1000">
              <a:solidFill>
                <a:srgbClr val="FFFF00"/>
              </a:solidFill>
              <a:latin typeface="Arial" pitchFamily="34" charset="0"/>
              <a:cs typeface="Arial" pitchFamily="34" charset="0"/>
            </a:rPr>
            <a:t>recognised</a:t>
          </a:r>
          <a:r>
            <a:rPr lang="en-US" sz="1000">
              <a:latin typeface="Arial" pitchFamily="34" charset="0"/>
              <a:cs typeface="Arial" pitchFamily="34" charset="0"/>
            </a:rPr>
            <a:t> when the </a:t>
          </a:r>
          <a:r>
            <a:rPr lang="en-US" sz="1000">
              <a:solidFill>
                <a:srgbClr val="FFFF00"/>
              </a:solidFill>
              <a:latin typeface="Arial" pitchFamily="34" charset="0"/>
              <a:ea typeface="+mn-ea"/>
              <a:cs typeface="Arial" pitchFamily="34" charset="0"/>
            </a:rPr>
            <a:t>ownership</a:t>
          </a:r>
          <a:r>
            <a:rPr lang="en-US" sz="1000">
              <a:latin typeface="Arial" pitchFamily="34" charset="0"/>
              <a:cs typeface="Arial" pitchFamily="34" charset="0"/>
            </a:rPr>
            <a:t> of such goods is transferred to the buyer. </a:t>
          </a:r>
          <a:r>
            <a:rPr lang="en-US" sz="1000" baseline="0">
              <a:latin typeface="Arial" pitchFamily="34" charset="0"/>
              <a:cs typeface="Arial" pitchFamily="34" charset="0"/>
            </a:rPr>
            <a:t> </a:t>
          </a:r>
        </a:p>
        <a:p>
          <a:pPr algn="l"/>
          <a:endParaRPr lang="en-US" sz="1000" baseline="0">
            <a:latin typeface="Arial" pitchFamily="34" charset="0"/>
            <a:cs typeface="Arial" pitchFamily="34" charset="0"/>
          </a:endParaRPr>
        </a:p>
        <a:p>
          <a:pPr algn="l"/>
          <a:r>
            <a:rPr lang="en-US" sz="1000" baseline="0">
              <a:latin typeface="Arial" pitchFamily="34" charset="0"/>
              <a:cs typeface="Arial" pitchFamily="34" charset="0"/>
            </a:rPr>
            <a:t>- Sales generated from </a:t>
          </a:r>
          <a:r>
            <a:rPr lang="en-US" sz="1000">
              <a:solidFill>
                <a:srgbClr val="FFFF00"/>
              </a:solidFill>
              <a:latin typeface="Arial" pitchFamily="34" charset="0"/>
              <a:ea typeface="+mn-ea"/>
              <a:cs typeface="Arial" pitchFamily="34" charset="0"/>
            </a:rPr>
            <a:t>provision of services </a:t>
          </a:r>
          <a:r>
            <a:rPr lang="en-US" sz="1000">
              <a:latin typeface="Arial" pitchFamily="34" charset="0"/>
              <a:cs typeface="Arial" pitchFamily="34" charset="0"/>
            </a:rPr>
            <a:t>must be </a:t>
          </a:r>
          <a:r>
            <a:rPr lang="en-US" sz="1000">
              <a:solidFill>
                <a:srgbClr val="FFFF00"/>
              </a:solidFill>
              <a:latin typeface="Arial" pitchFamily="34" charset="0"/>
              <a:ea typeface="+mn-ea"/>
              <a:cs typeface="Arial" pitchFamily="34" charset="0"/>
            </a:rPr>
            <a:t>recognised upon the completion of service </a:t>
          </a:r>
          <a:r>
            <a:rPr lang="en-US" sz="1000">
              <a:latin typeface="Arial" pitchFamily="34" charset="0"/>
              <a:cs typeface="Arial" pitchFamily="34" charset="0"/>
            </a:rPr>
            <a:t>or issuance</a:t>
          </a:r>
          <a:r>
            <a:rPr lang="en-US" sz="1000" baseline="0">
              <a:latin typeface="Arial" pitchFamily="34" charset="0"/>
              <a:cs typeface="Arial" pitchFamily="34" charset="0"/>
            </a:rPr>
            <a:t> of </a:t>
          </a:r>
          <a:r>
            <a:rPr lang="en-US" sz="1000">
              <a:latin typeface="Arial" pitchFamily="34" charset="0"/>
              <a:cs typeface="Arial" pitchFamily="34" charset="0"/>
            </a:rPr>
            <a:t>VAT invoices, </a:t>
          </a:r>
          <a:r>
            <a:rPr lang="en-US" sz="1000">
              <a:solidFill>
                <a:schemeClr val="bg1"/>
              </a:solidFill>
              <a:latin typeface="Arial" pitchFamily="34" charset="0"/>
              <a:cs typeface="Arial" pitchFamily="34" charset="0"/>
            </a:rPr>
            <a:t>whichever earlier.</a:t>
          </a:r>
        </a:p>
        <a:p>
          <a:pPr algn="l"/>
          <a:endParaRPr lang="en-US" sz="1000">
            <a:latin typeface="Arial" pitchFamily="34" charset="0"/>
            <a:cs typeface="Arial" pitchFamily="34" charset="0"/>
          </a:endParaRPr>
        </a:p>
        <a:p>
          <a:pPr algn="l"/>
          <a:r>
            <a:rPr lang="en-US" sz="1000">
              <a:latin typeface="Arial" pitchFamily="34" charset="0"/>
              <a:cs typeface="Arial" pitchFamily="34" charset="0"/>
            </a:rPr>
            <a:t>- Refer</a:t>
          </a:r>
          <a:r>
            <a:rPr lang="en-US" sz="1000" baseline="0">
              <a:latin typeface="Arial" pitchFamily="34" charset="0"/>
              <a:cs typeface="Arial" pitchFamily="34" charset="0"/>
            </a:rPr>
            <a:t> to </a:t>
          </a:r>
          <a:r>
            <a:rPr lang="en-US" sz="1000">
              <a:solidFill>
                <a:srgbClr val="FFFF00"/>
              </a:solidFill>
              <a:latin typeface="Arial" pitchFamily="34" charset="0"/>
              <a:ea typeface="+mn-ea"/>
              <a:cs typeface="Arial" pitchFamily="34" charset="0"/>
            </a:rPr>
            <a:t>Article 5 of Circular 123/2012/TT-BTC </a:t>
          </a:r>
          <a:r>
            <a:rPr lang="en-US" sz="1000" baseline="0">
              <a:latin typeface="Arial" pitchFamily="34" charset="0"/>
              <a:cs typeface="Arial" pitchFamily="34" charset="0"/>
            </a:rPr>
            <a:t>for other guidance on sales recognition in </a:t>
          </a:r>
          <a:r>
            <a:rPr lang="en-US" sz="1000">
              <a:solidFill>
                <a:srgbClr val="FFFF00"/>
              </a:solidFill>
              <a:latin typeface="Arial" pitchFamily="34" charset="0"/>
              <a:ea typeface="+mn-ea"/>
              <a:cs typeface="Arial" pitchFamily="34" charset="0"/>
            </a:rPr>
            <a:t>special circumstances </a:t>
          </a:r>
          <a:r>
            <a:rPr lang="en-US" sz="1000" baseline="0">
              <a:latin typeface="Arial" pitchFamily="34" charset="0"/>
              <a:cs typeface="Arial" pitchFamily="34" charset="0"/>
            </a:rPr>
            <a:t>(e.g. credit sales; goods used for bartering, gifting, or internal consumption; leasing revenue, insurance, construction activities, etc.)</a:t>
          </a:r>
          <a:endParaRPr lang="en-US" sz="1000">
            <a:latin typeface="Arial" pitchFamily="34" charset="0"/>
            <a:cs typeface="Arial" pitchFamily="34" charset="0"/>
          </a:endParaRPr>
        </a:p>
        <a:p>
          <a:pPr algn="l"/>
          <a:endParaRPr lang="en-US" sz="1000" b="1" baseline="0">
            <a:latin typeface="Arial" pitchFamily="34" charset="0"/>
            <a:cs typeface="Arial" pitchFamily="34" charset="0"/>
          </a:endParaRPr>
        </a:p>
        <a:p>
          <a:pPr algn="l"/>
          <a:r>
            <a:rPr lang="en-US" sz="1000" b="1" i="0">
              <a:solidFill>
                <a:schemeClr val="lt1"/>
              </a:solidFill>
              <a:latin typeface="Arial" pitchFamily="34" charset="0"/>
              <a:ea typeface="+mn-ea"/>
              <a:cs typeface="Arial" pitchFamily="34" charset="0"/>
            </a:rPr>
            <a:t>+ Sales deduction</a:t>
          </a:r>
          <a:r>
            <a:rPr lang="en-US" sz="1000" b="1" i="0" baseline="0">
              <a:solidFill>
                <a:schemeClr val="lt1"/>
              </a:solidFill>
              <a:latin typeface="Arial" pitchFamily="34" charset="0"/>
              <a:ea typeface="+mn-ea"/>
              <a:cs typeface="Arial" pitchFamily="34" charset="0"/>
            </a:rPr>
            <a:t> </a:t>
          </a:r>
          <a:r>
            <a:rPr lang="en-US" sz="1000" b="1" i="0">
              <a:solidFill>
                <a:schemeClr val="lt1"/>
              </a:solidFill>
              <a:latin typeface="Arial" pitchFamily="34" charset="0"/>
              <a:ea typeface="+mn-ea"/>
              <a:cs typeface="Arial" pitchFamily="34" charset="0"/>
            </a:rPr>
            <a:t>for CIT purposes: </a:t>
          </a:r>
        </a:p>
        <a:p>
          <a:pPr algn="l"/>
          <a:endParaRPr lang="en-US" sz="1000">
            <a:solidFill>
              <a:schemeClr val="lt1"/>
            </a:solidFill>
            <a:latin typeface="Arial" pitchFamily="34" charset="0"/>
            <a:ea typeface="+mn-ea"/>
            <a:cs typeface="Arial" pitchFamily="34" charset="0"/>
          </a:endParaRPr>
        </a:p>
        <a:p>
          <a:pPr algn="l"/>
          <a:r>
            <a:rPr lang="en-US" sz="1000">
              <a:solidFill>
                <a:schemeClr val="lt1"/>
              </a:solidFill>
              <a:latin typeface="Arial" pitchFamily="34" charset="0"/>
              <a:ea typeface="+mn-ea"/>
              <a:cs typeface="Arial" pitchFamily="34" charset="0"/>
            </a:rPr>
            <a:t>- </a:t>
          </a:r>
          <a:r>
            <a:rPr lang="en-US" sz="1000">
              <a:solidFill>
                <a:srgbClr val="FFFF00"/>
              </a:solidFill>
              <a:latin typeface="Arial" pitchFamily="34" charset="0"/>
              <a:ea typeface="+mn-ea"/>
              <a:cs typeface="Arial" pitchFamily="34" charset="0"/>
            </a:rPr>
            <a:t>Commercial discount</a:t>
          </a:r>
          <a:r>
            <a:rPr lang="en-US" sz="1000">
              <a:solidFill>
                <a:schemeClr val="bg1"/>
              </a:solidFill>
              <a:latin typeface="Arial" pitchFamily="34" charset="0"/>
              <a:ea typeface="+mn-ea"/>
              <a:cs typeface="Arial" pitchFamily="34" charset="0"/>
            </a:rPr>
            <a:t>: Where a price reduction (discount)</a:t>
          </a:r>
          <a:r>
            <a:rPr lang="en-US" sz="1000" baseline="0">
              <a:solidFill>
                <a:schemeClr val="bg1"/>
              </a:solidFill>
              <a:latin typeface="Arial" pitchFamily="34" charset="0"/>
              <a:ea typeface="+mn-ea"/>
              <a:cs typeface="Arial" pitchFamily="34" charset="0"/>
            </a:rPr>
            <a:t> </a:t>
          </a:r>
          <a:r>
            <a:rPr lang="en-US" sz="1000">
              <a:solidFill>
                <a:schemeClr val="bg1"/>
              </a:solidFill>
              <a:latin typeface="Arial" pitchFamily="34" charset="0"/>
              <a:ea typeface="+mn-ea"/>
              <a:cs typeface="Arial" pitchFamily="34" charset="0"/>
            </a:rPr>
            <a:t>applies based on quantity or value of purchases, the amount of reduction/discount</a:t>
          </a:r>
          <a:r>
            <a:rPr lang="en-US" sz="1000" baseline="0">
              <a:solidFill>
                <a:schemeClr val="bg1"/>
              </a:solidFill>
              <a:latin typeface="Arial" pitchFamily="34" charset="0"/>
              <a:ea typeface="+mn-ea"/>
              <a:cs typeface="Arial" pitchFamily="34" charset="0"/>
            </a:rPr>
            <a:t> </a:t>
          </a:r>
          <a:r>
            <a:rPr lang="en-US" sz="1000">
              <a:solidFill>
                <a:schemeClr val="bg1"/>
              </a:solidFill>
              <a:latin typeface="Arial" pitchFamily="34" charset="0"/>
              <a:ea typeface="+mn-ea"/>
              <a:cs typeface="Arial" pitchFamily="34" charset="0"/>
            </a:rPr>
            <a:t>for goods already sold and calculated earlier shall be adjusted on the VAT invoice for the goods and services upon the final purchase date or in the following period. Such invoice must specify the invoice number and the price reduction amount adjustment.  </a:t>
          </a:r>
        </a:p>
        <a:p>
          <a:pPr algn="l"/>
          <a:endParaRPr lang="en-US" sz="1000">
            <a:solidFill>
              <a:schemeClr val="bg1"/>
            </a:solidFill>
            <a:latin typeface="Arial" pitchFamily="34" charset="0"/>
            <a:ea typeface="+mn-ea"/>
            <a:cs typeface="Arial" pitchFamily="34" charset="0"/>
          </a:endParaRPr>
        </a:p>
        <a:p>
          <a:pPr algn="l"/>
          <a:r>
            <a:rPr lang="en-US" sz="1000">
              <a:solidFill>
                <a:schemeClr val="bg1"/>
              </a:solidFill>
              <a:latin typeface="Arial" pitchFamily="34" charset="0"/>
              <a:ea typeface="+mn-ea"/>
              <a:cs typeface="Arial" pitchFamily="34" charset="0"/>
            </a:rPr>
            <a:t> - </a:t>
          </a:r>
          <a:r>
            <a:rPr lang="en-US" sz="1000">
              <a:solidFill>
                <a:srgbClr val="FFFF00"/>
              </a:solidFill>
              <a:latin typeface="Arial" pitchFamily="34" charset="0"/>
              <a:ea typeface="+mn-ea"/>
              <a:cs typeface="Arial" pitchFamily="34" charset="0"/>
            </a:rPr>
            <a:t>Sales returns</a:t>
          </a:r>
          <a:r>
            <a:rPr lang="en-US" sz="1000">
              <a:solidFill>
                <a:schemeClr val="bg1"/>
              </a:solidFill>
              <a:latin typeface="Arial" pitchFamily="34" charset="0"/>
              <a:ea typeface="+mn-ea"/>
              <a:cs typeface="Arial" pitchFamily="34" charset="0"/>
            </a:rPr>
            <a:t>: Where the purchaser discovers that the goods fail to meet specifications or quality and a part or all of them are returned, then the sales returns </a:t>
          </a:r>
          <a:r>
            <a:rPr lang="en-US" sz="1000">
              <a:solidFill>
                <a:srgbClr val="FFFF00"/>
              </a:solidFill>
              <a:latin typeface="Arial" pitchFamily="34" charset="0"/>
              <a:ea typeface="+mn-ea"/>
              <a:cs typeface="Arial" pitchFamily="34" charset="0"/>
            </a:rPr>
            <a:t>must be supported with minutes of sales returns </a:t>
          </a:r>
          <a:r>
            <a:rPr lang="en-US" sz="1000">
              <a:solidFill>
                <a:schemeClr val="bg1"/>
              </a:solidFill>
              <a:latin typeface="Arial" pitchFamily="34" charset="0"/>
              <a:ea typeface="+mn-ea"/>
              <a:cs typeface="Arial" pitchFamily="34" charset="0"/>
            </a:rPr>
            <a:t>and i</a:t>
          </a:r>
          <a:r>
            <a:rPr lang="en-US" sz="1000">
              <a:solidFill>
                <a:srgbClr val="FFFF00"/>
              </a:solidFill>
              <a:latin typeface="Arial" pitchFamily="34" charset="0"/>
              <a:ea typeface="+mn-ea"/>
              <a:cs typeface="Arial" pitchFamily="34" charset="0"/>
            </a:rPr>
            <a:t>nvoice</a:t>
          </a:r>
          <a:r>
            <a:rPr lang="en-US" sz="1000">
              <a:solidFill>
                <a:schemeClr val="bg1"/>
              </a:solidFill>
              <a:latin typeface="Arial" pitchFamily="34" charset="0"/>
              <a:ea typeface="+mn-ea"/>
              <a:cs typeface="Arial" pitchFamily="34" charset="0"/>
            </a:rPr>
            <a:t>s from the customers</a:t>
          </a:r>
          <a:r>
            <a:rPr lang="en-US" sz="1000" baseline="0">
              <a:solidFill>
                <a:schemeClr val="bg1"/>
              </a:solidFill>
              <a:latin typeface="Arial" pitchFamily="34" charset="0"/>
              <a:ea typeface="+mn-ea"/>
              <a:cs typeface="Arial" pitchFamily="34" charset="0"/>
            </a:rPr>
            <a:t>.  </a:t>
          </a:r>
          <a:endParaRPr lang="en-US" sz="1000">
            <a:solidFill>
              <a:schemeClr val="bg1"/>
            </a:solidFill>
            <a:latin typeface="Arial" pitchFamily="34" charset="0"/>
            <a:ea typeface="+mn-ea"/>
            <a:cs typeface="Arial"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57150</xdr:colOff>
      <xdr:row>30</xdr:row>
      <xdr:rowOff>0</xdr:rowOff>
    </xdr:from>
    <xdr:to>
      <xdr:col>3</xdr:col>
      <xdr:colOff>247650</xdr:colOff>
      <xdr:row>30</xdr:row>
      <xdr:rowOff>0</xdr:rowOff>
    </xdr:to>
    <xdr:sp macro="" textlink="">
      <xdr:nvSpPr>
        <xdr:cNvPr id="2" name="Text Box 1"/>
        <xdr:cNvSpPr txBox="1">
          <a:spLocks noChangeArrowheads="1"/>
        </xdr:cNvSpPr>
      </xdr:nvSpPr>
      <xdr:spPr bwMode="auto">
        <a:xfrm>
          <a:off x="57150" y="5734050"/>
          <a:ext cx="5915025" cy="0"/>
        </a:xfrm>
        <a:prstGeom prst="rect">
          <a:avLst/>
        </a:prstGeom>
        <a:noFill/>
        <a:ln w="9525">
          <a:noFill/>
          <a:miter lim="800000"/>
          <a:headEnd/>
          <a:tailEnd/>
        </a:ln>
      </xdr:spPr>
      <xdr:txBody>
        <a:bodyPr vertOverflow="clip" wrap="square" lIns="27432" tIns="22860" rIns="0" bIns="0" anchor="t" upright="1"/>
        <a:lstStyle/>
        <a:p>
          <a:pPr algn="l" rtl="0">
            <a:defRPr sz="1000"/>
          </a:pPr>
          <a:r>
            <a:rPr lang="en-US" sz="800" b="0" i="0" u="none" strike="noStrike" baseline="0">
              <a:solidFill>
                <a:srgbClr val="000000"/>
              </a:solidFill>
              <a:latin typeface="Arial"/>
              <a:cs typeface="Arial"/>
            </a:rPr>
            <a:t>• Obtain the Company's tax audit minutes of the previous years (if available) to understand if there were any adjustments to this item and what item were subject to adjustments.</a:t>
          </a:r>
        </a:p>
        <a:p>
          <a:pPr algn="l" rtl="0">
            <a:defRPr sz="1000"/>
          </a:pPr>
          <a:r>
            <a:rPr lang="en-US" sz="800" b="0" i="0" u="none" strike="noStrike" baseline="0">
              <a:solidFill>
                <a:srgbClr val="000000"/>
              </a:solidFill>
              <a:latin typeface="Arial"/>
              <a:cs typeface="Arial"/>
            </a:rPr>
            <a:t>• Obtain the Company's trial balances and general ledger of randomly selected expense accounts</a:t>
          </a:r>
        </a:p>
        <a:p>
          <a:pPr algn="l" rtl="0">
            <a:defRPr sz="1000"/>
          </a:pPr>
          <a:r>
            <a:rPr lang="en-US" sz="800" b="0" i="0" u="none" strike="noStrike" baseline="0">
              <a:solidFill>
                <a:srgbClr val="000000"/>
              </a:solidFill>
              <a:latin typeface="Arial"/>
              <a:cs typeface="Arial"/>
            </a:rPr>
            <a:t>• Perform a sample review of supporting invoices of the Company's expenses and ensure that all the reviewed invoices are "legitimate" for CIT deduction purposes (e.g. a purchase of VND100,000 or more must be supported by a VAT invoices including all the statutory information).</a:t>
          </a:r>
        </a:p>
        <a:p>
          <a:pPr algn="l" rtl="0">
            <a:defRPr sz="1000"/>
          </a:pPr>
          <a:endParaRPr lang="en-US" sz="800" b="0" i="0" u="none" strike="noStrike" baseline="0">
            <a:solidFill>
              <a:srgbClr val="000000"/>
            </a:solidFill>
            <a:latin typeface="Arial"/>
            <a:cs typeface="Arial"/>
          </a:endParaRPr>
        </a:p>
        <a:p>
          <a:pPr algn="l" rtl="0">
            <a:defRPr sz="1000"/>
          </a:pPr>
          <a:endParaRPr lang="en-US" sz="800" b="0" i="0" u="none" strike="noStrike" baseline="0">
            <a:solidFill>
              <a:srgbClr val="000000"/>
            </a:solidFill>
            <a:latin typeface="Arial"/>
            <a:cs typeface="Arial"/>
          </a:endParaRPr>
        </a:p>
        <a:p>
          <a:pPr algn="l" rtl="0">
            <a:defRPr sz="1000"/>
          </a:pPr>
          <a:endParaRPr lang="en-US" sz="800" b="0" i="0" u="none" strike="noStrike" baseline="0">
            <a:solidFill>
              <a:srgbClr val="000000"/>
            </a:solidFill>
            <a:latin typeface="Arial"/>
            <a:cs typeface="Arial"/>
          </a:endParaRPr>
        </a:p>
        <a:p>
          <a:pPr algn="l" rtl="0">
            <a:defRPr sz="1000"/>
          </a:pPr>
          <a:endParaRPr lang="en-US" sz="800" b="0" i="0" u="none" strike="noStrike" baseline="0">
            <a:solidFill>
              <a:srgbClr val="000000"/>
            </a:solidFill>
            <a:latin typeface="Arial"/>
            <a:cs typeface="Arial"/>
          </a:endParaRPr>
        </a:p>
      </xdr:txBody>
    </xdr:sp>
    <xdr:clientData/>
  </xdr:twoCellAnchor>
  <xdr:twoCellAnchor>
    <xdr:from>
      <xdr:col>0</xdr:col>
      <xdr:colOff>85725</xdr:colOff>
      <xdr:row>30</xdr:row>
      <xdr:rowOff>0</xdr:rowOff>
    </xdr:from>
    <xdr:to>
      <xdr:col>3</xdr:col>
      <xdr:colOff>276225</xdr:colOff>
      <xdr:row>30</xdr:row>
      <xdr:rowOff>0</xdr:rowOff>
    </xdr:to>
    <xdr:sp macro="" textlink="">
      <xdr:nvSpPr>
        <xdr:cNvPr id="3" name="Text Box 2"/>
        <xdr:cNvSpPr txBox="1">
          <a:spLocks noChangeArrowheads="1"/>
        </xdr:cNvSpPr>
      </xdr:nvSpPr>
      <xdr:spPr bwMode="auto">
        <a:xfrm>
          <a:off x="85725" y="5734050"/>
          <a:ext cx="5915025" cy="0"/>
        </a:xfrm>
        <a:prstGeom prst="rect">
          <a:avLst/>
        </a:prstGeom>
        <a:noFill/>
        <a:ln w="9525">
          <a:noFill/>
          <a:miter lim="800000"/>
          <a:headEnd/>
          <a:tailEnd/>
        </a:ln>
      </xdr:spPr>
      <xdr:txBody>
        <a:bodyPr vertOverflow="clip" wrap="square" lIns="27432" tIns="22860" rIns="0" bIns="0" anchor="t" upright="1"/>
        <a:lstStyle/>
        <a:p>
          <a:pPr algn="l" rtl="0">
            <a:defRPr sz="1000"/>
          </a:pPr>
          <a:r>
            <a:rPr lang="en-US" sz="800" b="0" i="0" u="none" strike="noStrike" baseline="0">
              <a:solidFill>
                <a:srgbClr val="000000"/>
              </a:solidFill>
              <a:latin typeface="Arial"/>
              <a:cs typeface="Arial"/>
            </a:rPr>
            <a:t>• Obtain the list of auditor’s adjustments regarding revenue (if any).</a:t>
          </a:r>
        </a:p>
        <a:p>
          <a:pPr algn="l" rtl="0">
            <a:defRPr sz="1000"/>
          </a:pPr>
          <a:r>
            <a:rPr lang="en-US" sz="800" b="0" i="0" u="none" strike="noStrike" baseline="0">
              <a:solidFill>
                <a:srgbClr val="000000"/>
              </a:solidFill>
              <a:latin typeface="Arial"/>
              <a:cs typeface="Arial"/>
            </a:rPr>
            <a:t>• Reconciliation between revenue in P/L with accumulated revenue declared in monthly declaration.</a:t>
          </a:r>
        </a:p>
        <a:p>
          <a:pPr algn="l" rtl="0">
            <a:defRPr sz="1000"/>
          </a:pPr>
          <a:r>
            <a:rPr lang="en-US" sz="800" b="0" i="0" u="none" strike="noStrike" baseline="0">
              <a:solidFill>
                <a:srgbClr val="000000"/>
              </a:solidFill>
              <a:latin typeface="Arial"/>
              <a:cs typeface="Arial"/>
            </a:rPr>
            <a:t>• Points to consider:</a:t>
          </a:r>
        </a:p>
        <a:p>
          <a:pPr algn="l" rtl="0">
            <a:defRPr sz="1000"/>
          </a:pPr>
          <a:r>
            <a:rPr lang="en-US" sz="800" b="0" i="0" u="none" strike="noStrike" baseline="0">
              <a:solidFill>
                <a:srgbClr val="000000"/>
              </a:solidFill>
              <a:latin typeface="Arial"/>
              <a:cs typeface="Arial"/>
            </a:rPr>
            <a:t>- Sales recognition: Does the Company recognise its sales in accordance with the current CIT regulations? If not, an appropriate adjustment is required.</a:t>
          </a:r>
        </a:p>
        <a:p>
          <a:pPr algn="l" rtl="0">
            <a:defRPr sz="1000"/>
          </a:pPr>
          <a:r>
            <a:rPr lang="en-US" sz="800" b="0" i="0" u="none" strike="noStrike" baseline="0">
              <a:solidFill>
                <a:srgbClr val="000000"/>
              </a:solidFill>
              <a:latin typeface="Arial"/>
              <a:cs typeface="Arial"/>
            </a:rPr>
            <a:t>- Sales offset: Does the Company directly offset its Receivables against its Payables without recording to its revenue in the P/L accounts? If yes, an appropriate adjustment is required.</a:t>
          </a:r>
        </a:p>
        <a:p>
          <a:pPr algn="l" rtl="0">
            <a:defRPr sz="1000"/>
          </a:pPr>
          <a:r>
            <a:rPr lang="en-US" sz="800" b="0" i="0" u="none" strike="noStrike" baseline="0">
              <a:solidFill>
                <a:srgbClr val="000000"/>
              </a:solidFill>
              <a:latin typeface="Arial"/>
              <a:cs typeface="Arial"/>
            </a:rPr>
            <a:t>- Sales reduction: Does the Company maintain appropriate supporting documents for its sales discounts, sales allowance, and/or goods returned? If not, an appropriate adjustment is required.</a:t>
          </a:r>
        </a:p>
        <a:p>
          <a:pPr algn="l" rtl="0">
            <a:defRPr sz="1000"/>
          </a:pPr>
          <a:r>
            <a:rPr lang="en-US" sz="800" b="0" i="0" u="none" strike="noStrike" baseline="0">
              <a:solidFill>
                <a:srgbClr val="000000"/>
              </a:solidFill>
              <a:latin typeface="Arial"/>
              <a:cs typeface="Arial"/>
            </a:rPr>
            <a:t>- Other sales activities: Does the Company record have internal consumption or give gifts/presents to its employees and/or other third party, or sell goods and/or services on a deferred payment basis? Is the Company's sales recognised in accordance with the CIT regulations?  If not, an appropriate adjustment is required.</a:t>
          </a:r>
        </a:p>
      </xdr:txBody>
    </xdr:sp>
    <xdr:clientData/>
  </xdr:twoCellAnchor>
  <xdr:twoCellAnchor>
    <xdr:from>
      <xdr:col>1</xdr:col>
      <xdr:colOff>19049</xdr:colOff>
      <xdr:row>8</xdr:row>
      <xdr:rowOff>28576</xdr:rowOff>
    </xdr:from>
    <xdr:to>
      <xdr:col>5</xdr:col>
      <xdr:colOff>380999</xdr:colOff>
      <xdr:row>12</xdr:row>
      <xdr:rowOff>19050</xdr:rowOff>
    </xdr:to>
    <xdr:sp macro="" textlink="">
      <xdr:nvSpPr>
        <xdr:cNvPr id="4" name="Round Diagonal Corner Rectangle 3"/>
        <xdr:cNvSpPr/>
      </xdr:nvSpPr>
      <xdr:spPr>
        <a:xfrm>
          <a:off x="266699" y="1666876"/>
          <a:ext cx="7400925" cy="790574"/>
        </a:xfrm>
        <a:prstGeom prst="round2Diag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l"/>
          <a:r>
            <a:rPr lang="en-US" sz="1000">
              <a:latin typeface="Arial" pitchFamily="34" charset="0"/>
              <a:cs typeface="Arial" pitchFamily="34" charset="0"/>
            </a:rPr>
            <a:t>Due to the "revenue-expense" matching concept, if there is any decremental adjustment of the entity's taxable revenue posted under Item B9 of the CIT return due to timing difference, related expenses of the decreased revenue must be excluded from the entity's d</a:t>
          </a:r>
          <a:r>
            <a:rPr lang="en-US" sz="1000" baseline="0">
              <a:latin typeface="Arial" pitchFamily="34" charset="0"/>
              <a:cs typeface="Arial" pitchFamily="34" charset="0"/>
            </a:rPr>
            <a:t>eductible expenses of the current year for CIT purposes. Such expenses subject to CIT adjustment will be included in Item B3.</a:t>
          </a:r>
          <a:endParaRPr lang="en-US" sz="1000">
            <a:latin typeface="Arial" pitchFamily="34" charset="0"/>
            <a:cs typeface="Arial"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57150</xdr:colOff>
      <xdr:row>95</xdr:row>
      <xdr:rowOff>0</xdr:rowOff>
    </xdr:from>
    <xdr:to>
      <xdr:col>7</xdr:col>
      <xdr:colOff>247650</xdr:colOff>
      <xdr:row>95</xdr:row>
      <xdr:rowOff>0</xdr:rowOff>
    </xdr:to>
    <xdr:sp macro="" textlink="">
      <xdr:nvSpPr>
        <xdr:cNvPr id="2" name="Text Box 1"/>
        <xdr:cNvSpPr txBox="1">
          <a:spLocks noChangeArrowheads="1"/>
        </xdr:cNvSpPr>
      </xdr:nvSpPr>
      <xdr:spPr bwMode="auto">
        <a:xfrm>
          <a:off x="57150" y="17678400"/>
          <a:ext cx="7715250" cy="0"/>
        </a:xfrm>
        <a:prstGeom prst="rect">
          <a:avLst/>
        </a:prstGeom>
        <a:noFill/>
        <a:ln w="9525">
          <a:noFill/>
          <a:miter lim="800000"/>
          <a:headEnd/>
          <a:tailEnd/>
        </a:ln>
      </xdr:spPr>
      <xdr:txBody>
        <a:bodyPr vertOverflow="clip" wrap="square" lIns="27432" tIns="22860" rIns="0" bIns="0" anchor="t" upright="1"/>
        <a:lstStyle/>
        <a:p>
          <a:pPr algn="l" rtl="0">
            <a:defRPr sz="1000"/>
          </a:pPr>
          <a:r>
            <a:rPr lang="en-US" sz="800" b="0" i="0" u="none" strike="noStrike" baseline="0">
              <a:solidFill>
                <a:srgbClr val="000000"/>
              </a:solidFill>
              <a:latin typeface="Arial"/>
              <a:cs typeface="Arial"/>
            </a:rPr>
            <a:t>• Obtain the Company's tax audit minutes of the previous years (if available) to understand if there were any adjustments to this item and what item were subject to adjustments.</a:t>
          </a:r>
        </a:p>
        <a:p>
          <a:pPr algn="l" rtl="0">
            <a:defRPr sz="1000"/>
          </a:pPr>
          <a:r>
            <a:rPr lang="en-US" sz="800" b="0" i="0" u="none" strike="noStrike" baseline="0">
              <a:solidFill>
                <a:srgbClr val="000000"/>
              </a:solidFill>
              <a:latin typeface="Arial"/>
              <a:cs typeface="Arial"/>
            </a:rPr>
            <a:t>• Obtain the Company's trial balances and general ledger of randomly selected expense accounts</a:t>
          </a:r>
        </a:p>
        <a:p>
          <a:pPr algn="l" rtl="0">
            <a:defRPr sz="1000"/>
          </a:pPr>
          <a:r>
            <a:rPr lang="en-US" sz="800" b="0" i="0" u="none" strike="noStrike" baseline="0">
              <a:solidFill>
                <a:srgbClr val="000000"/>
              </a:solidFill>
              <a:latin typeface="Arial"/>
              <a:cs typeface="Arial"/>
            </a:rPr>
            <a:t>• Perform a sample review of supporting invoices of the Company's expenses and ensure that all the reviewed invoices are "legitimate" for CIT deduction purposes (e.g. a purchase of VND100,000 or more must be supported by a VAT invoices including all the statutory information).</a:t>
          </a:r>
        </a:p>
        <a:p>
          <a:pPr algn="l" rtl="0">
            <a:defRPr sz="1000"/>
          </a:pPr>
          <a:endParaRPr lang="en-US" sz="800" b="0" i="0" u="none" strike="noStrike" baseline="0">
            <a:solidFill>
              <a:srgbClr val="000000"/>
            </a:solidFill>
            <a:latin typeface="Arial"/>
            <a:cs typeface="Arial"/>
          </a:endParaRPr>
        </a:p>
        <a:p>
          <a:pPr algn="l" rtl="0">
            <a:defRPr sz="1000"/>
          </a:pPr>
          <a:endParaRPr lang="en-US" sz="800" b="0" i="0" u="none" strike="noStrike" baseline="0">
            <a:solidFill>
              <a:srgbClr val="000000"/>
            </a:solidFill>
            <a:latin typeface="Arial"/>
            <a:cs typeface="Arial"/>
          </a:endParaRPr>
        </a:p>
        <a:p>
          <a:pPr algn="l" rtl="0">
            <a:defRPr sz="1000"/>
          </a:pPr>
          <a:endParaRPr lang="en-US" sz="800" b="0" i="0" u="none" strike="noStrike" baseline="0">
            <a:solidFill>
              <a:srgbClr val="000000"/>
            </a:solidFill>
            <a:latin typeface="Arial"/>
            <a:cs typeface="Arial"/>
          </a:endParaRPr>
        </a:p>
        <a:p>
          <a:pPr algn="l" rtl="0">
            <a:defRPr sz="1000"/>
          </a:pPr>
          <a:endParaRPr lang="en-US" sz="800" b="0" i="0" u="none" strike="noStrike" baseline="0">
            <a:solidFill>
              <a:srgbClr val="000000"/>
            </a:solidFill>
            <a:latin typeface="Arial"/>
            <a:cs typeface="Arial"/>
          </a:endParaRPr>
        </a:p>
      </xdr:txBody>
    </xdr:sp>
    <xdr:clientData/>
  </xdr:twoCellAnchor>
  <xdr:twoCellAnchor>
    <xdr:from>
      <xdr:col>0</xdr:col>
      <xdr:colOff>85725</xdr:colOff>
      <xdr:row>95</xdr:row>
      <xdr:rowOff>0</xdr:rowOff>
    </xdr:from>
    <xdr:to>
      <xdr:col>7</xdr:col>
      <xdr:colOff>276225</xdr:colOff>
      <xdr:row>95</xdr:row>
      <xdr:rowOff>0</xdr:rowOff>
    </xdr:to>
    <xdr:sp macro="" textlink="">
      <xdr:nvSpPr>
        <xdr:cNvPr id="3" name="Text Box 2"/>
        <xdr:cNvSpPr txBox="1">
          <a:spLocks noChangeArrowheads="1"/>
        </xdr:cNvSpPr>
      </xdr:nvSpPr>
      <xdr:spPr bwMode="auto">
        <a:xfrm>
          <a:off x="85725" y="17678400"/>
          <a:ext cx="7715250" cy="0"/>
        </a:xfrm>
        <a:prstGeom prst="rect">
          <a:avLst/>
        </a:prstGeom>
        <a:noFill/>
        <a:ln w="9525">
          <a:noFill/>
          <a:miter lim="800000"/>
          <a:headEnd/>
          <a:tailEnd/>
        </a:ln>
      </xdr:spPr>
      <xdr:txBody>
        <a:bodyPr vertOverflow="clip" wrap="square" lIns="27432" tIns="22860" rIns="0" bIns="0" anchor="t" upright="1"/>
        <a:lstStyle/>
        <a:p>
          <a:pPr algn="l" rtl="0">
            <a:defRPr sz="1000"/>
          </a:pPr>
          <a:r>
            <a:rPr lang="en-US" sz="800" b="0" i="0" u="none" strike="noStrike" baseline="0">
              <a:solidFill>
                <a:srgbClr val="000000"/>
              </a:solidFill>
              <a:latin typeface="Arial"/>
              <a:cs typeface="Arial"/>
            </a:rPr>
            <a:t>• Obtain the list of auditor’s adjustments regarding revenue (if any).</a:t>
          </a:r>
        </a:p>
        <a:p>
          <a:pPr algn="l" rtl="0">
            <a:defRPr sz="1000"/>
          </a:pPr>
          <a:r>
            <a:rPr lang="en-US" sz="800" b="0" i="0" u="none" strike="noStrike" baseline="0">
              <a:solidFill>
                <a:srgbClr val="000000"/>
              </a:solidFill>
              <a:latin typeface="Arial"/>
              <a:cs typeface="Arial"/>
            </a:rPr>
            <a:t>• Reconciliation between revenue in P/L with accumulated revenue declared in monthly declaration.</a:t>
          </a:r>
        </a:p>
        <a:p>
          <a:pPr algn="l" rtl="0">
            <a:defRPr sz="1000"/>
          </a:pPr>
          <a:r>
            <a:rPr lang="en-US" sz="800" b="0" i="0" u="none" strike="noStrike" baseline="0">
              <a:solidFill>
                <a:srgbClr val="000000"/>
              </a:solidFill>
              <a:latin typeface="Arial"/>
              <a:cs typeface="Arial"/>
            </a:rPr>
            <a:t>• Points to consider:</a:t>
          </a:r>
        </a:p>
        <a:p>
          <a:pPr algn="l" rtl="0">
            <a:defRPr sz="1000"/>
          </a:pPr>
          <a:r>
            <a:rPr lang="en-US" sz="800" b="0" i="0" u="none" strike="noStrike" baseline="0">
              <a:solidFill>
                <a:srgbClr val="000000"/>
              </a:solidFill>
              <a:latin typeface="Arial"/>
              <a:cs typeface="Arial"/>
            </a:rPr>
            <a:t>- Sales recognition: Does the Company recognise its sales in accordance with the current CIT regulations? If not, an appropriate adjustment is required.</a:t>
          </a:r>
        </a:p>
        <a:p>
          <a:pPr algn="l" rtl="0">
            <a:defRPr sz="1000"/>
          </a:pPr>
          <a:r>
            <a:rPr lang="en-US" sz="800" b="0" i="0" u="none" strike="noStrike" baseline="0">
              <a:solidFill>
                <a:srgbClr val="000000"/>
              </a:solidFill>
              <a:latin typeface="Arial"/>
              <a:cs typeface="Arial"/>
            </a:rPr>
            <a:t>- Sales offset: Does the Company directly offset its Receivables against its Payables without recording to its revenue in the P/L accounts? If yes, an appropriate adjustment is required.</a:t>
          </a:r>
        </a:p>
        <a:p>
          <a:pPr algn="l" rtl="0">
            <a:defRPr sz="1000"/>
          </a:pPr>
          <a:r>
            <a:rPr lang="en-US" sz="800" b="0" i="0" u="none" strike="noStrike" baseline="0">
              <a:solidFill>
                <a:srgbClr val="000000"/>
              </a:solidFill>
              <a:latin typeface="Arial"/>
              <a:cs typeface="Arial"/>
            </a:rPr>
            <a:t>- Sales reduction: Does the Company maintain appropriate supporting documents for its sales discounts, sales allowance, and/or goods returned? If not, an appropriate adjustment is required.</a:t>
          </a:r>
        </a:p>
        <a:p>
          <a:pPr algn="l" rtl="0">
            <a:defRPr sz="1000"/>
          </a:pPr>
          <a:r>
            <a:rPr lang="en-US" sz="800" b="0" i="0" u="none" strike="noStrike" baseline="0">
              <a:solidFill>
                <a:srgbClr val="000000"/>
              </a:solidFill>
              <a:latin typeface="Arial"/>
              <a:cs typeface="Arial"/>
            </a:rPr>
            <a:t>- Other sales activities: Does the Company record have internal consumption or give gifts/presents to its employees and/or other third party, or sell goods and/or services on a deferred payment basis? Is the Company's sales recognised in accordance with the CIT regulations?  If not, an appropriate adjustment is required.</a:t>
          </a:r>
        </a:p>
      </xdr:txBody>
    </xdr:sp>
    <xdr:clientData/>
  </xdr:twoCellAnchor>
  <xdr:twoCellAnchor>
    <xdr:from>
      <xdr:col>1</xdr:col>
      <xdr:colOff>9525</xdr:colOff>
      <xdr:row>8</xdr:row>
      <xdr:rowOff>28576</xdr:rowOff>
    </xdr:from>
    <xdr:to>
      <xdr:col>7</xdr:col>
      <xdr:colOff>590550</xdr:colOff>
      <xdr:row>22</xdr:row>
      <xdr:rowOff>161925</xdr:rowOff>
    </xdr:to>
    <xdr:sp macro="" textlink="">
      <xdr:nvSpPr>
        <xdr:cNvPr id="4" name="Round Diagonal Corner Rectangle 3"/>
        <xdr:cNvSpPr/>
      </xdr:nvSpPr>
      <xdr:spPr>
        <a:xfrm>
          <a:off x="314325" y="1666876"/>
          <a:ext cx="7800975" cy="2666999"/>
        </a:xfrm>
        <a:prstGeom prst="round2Diag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l"/>
          <a:r>
            <a:rPr lang="en-US" sz="1000" b="1">
              <a:latin typeface="Arial" pitchFamily="34" charset="0"/>
              <a:cs typeface="Arial" pitchFamily="34" charset="0"/>
            </a:rPr>
            <a:t>Depreciation expenses will be</a:t>
          </a:r>
          <a:r>
            <a:rPr lang="en-US" sz="1000" b="1" baseline="0">
              <a:latin typeface="Arial" pitchFamily="34" charset="0"/>
              <a:cs typeface="Arial" pitchFamily="34" charset="0"/>
            </a:rPr>
            <a:t> not deductible if falling into one of the following circumstances:</a:t>
          </a:r>
        </a:p>
        <a:p>
          <a:pPr algn="l"/>
          <a:endParaRPr lang="en-US" sz="1000" baseline="0">
            <a:latin typeface="Arial" pitchFamily="34" charset="0"/>
            <a:cs typeface="Arial" pitchFamily="34" charset="0"/>
          </a:endParaRPr>
        </a:p>
        <a:p>
          <a:pPr marL="0" marR="0" indent="0" algn="l" defTabSz="914400" eaLnBrk="1" fontAlgn="auto" latinLnBrk="0" hangingPunct="1">
            <a:lnSpc>
              <a:spcPct val="100000"/>
            </a:lnSpc>
            <a:spcBef>
              <a:spcPts val="0"/>
            </a:spcBef>
            <a:spcAft>
              <a:spcPts val="0"/>
            </a:spcAft>
            <a:buClrTx/>
            <a:buSzTx/>
            <a:buFontTx/>
            <a:buNone/>
            <a:tabLst/>
            <a:defRPr/>
          </a:pPr>
          <a:r>
            <a:rPr lang="en-US" sz="1000" baseline="0">
              <a:latin typeface="Arial" pitchFamily="34" charset="0"/>
              <a:cs typeface="Arial" pitchFamily="34" charset="0"/>
            </a:rPr>
            <a:t>-  Fixed assets which are not used for, or relevant to, the entity's registered business activities </a:t>
          </a:r>
          <a:r>
            <a:rPr lang="en-US" sz="1000" baseline="0">
              <a:solidFill>
                <a:srgbClr val="FFC000"/>
              </a:solidFill>
              <a:latin typeface="Arial" pitchFamily="34" charset="0"/>
              <a:cs typeface="Arial" pitchFamily="34" charset="0"/>
            </a:rPr>
            <a:t>(except for fixed assets for the use of the entity's employees such </a:t>
          </a:r>
          <a:r>
            <a:rPr lang="en-US" sz="1000" baseline="0">
              <a:solidFill>
                <a:srgbClr val="FFC000"/>
              </a:solidFill>
              <a:latin typeface="Arial" pitchFamily="34" charset="0"/>
              <a:ea typeface="+mn-ea"/>
              <a:cs typeface="Arial" pitchFamily="34" charset="0"/>
            </a:rPr>
            <a:t>as </a:t>
          </a:r>
          <a:r>
            <a:rPr lang="en-GB" sz="1000" baseline="0">
              <a:solidFill>
                <a:srgbClr val="FFC000"/>
              </a:solidFill>
              <a:latin typeface="Arial" pitchFamily="34" charset="0"/>
              <a:ea typeface="+mn-ea"/>
              <a:cs typeface="Arial" pitchFamily="34" charset="0"/>
            </a:rPr>
            <a:t>mid-shift rest house and canteen, dressing place, medical office for medical care, and vocational and training facility, clean water tanks, garages, commuter car, housing for workers built by the enterprise</a:t>
          </a:r>
          <a:r>
            <a:rPr lang="en-GB" sz="1000" baseline="0">
              <a:solidFill>
                <a:schemeClr val="lt1"/>
              </a:solidFill>
              <a:latin typeface="Arial" pitchFamily="34" charset="0"/>
              <a:ea typeface="+mn-ea"/>
              <a:cs typeface="Arial" pitchFamily="34" charset="0"/>
            </a:rPr>
            <a:t>)</a:t>
          </a:r>
          <a:r>
            <a:rPr lang="en-US" sz="1000" baseline="0">
              <a:solidFill>
                <a:schemeClr val="lt1"/>
              </a:solidFill>
              <a:latin typeface="Arial" pitchFamily="34" charset="0"/>
              <a:ea typeface="+mn-ea"/>
              <a:cs typeface="Arial" pitchFamily="34" charset="0"/>
            </a:rPr>
            <a:t>; </a:t>
          </a:r>
        </a:p>
        <a:p>
          <a:pPr algn="l"/>
          <a:r>
            <a:rPr lang="en-US" sz="1000" baseline="0">
              <a:latin typeface="Arial" pitchFamily="34" charset="0"/>
              <a:cs typeface="Arial" pitchFamily="34" charset="0"/>
            </a:rPr>
            <a:t>-  Fixed assets which are not legally owned by the entity (i.e. without supporting invoices and documents, e.g.  ownership certificate, etc.)</a:t>
          </a:r>
        </a:p>
        <a:p>
          <a:pPr algn="l"/>
          <a:r>
            <a:rPr lang="en-US" sz="1000" baseline="0">
              <a:latin typeface="Arial" pitchFamily="34" charset="0"/>
              <a:cs typeface="Arial" pitchFamily="34" charset="0"/>
            </a:rPr>
            <a:t>-  Assets which do not meet the conditions of fixed assets (i.e. the individual value of less than VND10million);</a:t>
          </a:r>
        </a:p>
        <a:p>
          <a:pPr algn="l"/>
          <a:r>
            <a:rPr lang="en-US" sz="1000" baseline="0">
              <a:latin typeface="Arial" pitchFamily="34" charset="0"/>
              <a:cs typeface="Arial" pitchFamily="34" charset="0"/>
            </a:rPr>
            <a:t>-  </a:t>
          </a:r>
          <a:r>
            <a:rPr lang="en-US" sz="1000" baseline="0">
              <a:solidFill>
                <a:schemeClr val="lt1"/>
              </a:solidFill>
              <a:latin typeface="Arial" pitchFamily="34" charset="0"/>
              <a:ea typeface="+mn-ea"/>
              <a:cs typeface="Arial" pitchFamily="34" charset="0"/>
            </a:rPr>
            <a:t>Depreciation </a:t>
          </a:r>
          <a:r>
            <a:rPr lang="en-GB" sz="1000" baseline="0">
              <a:solidFill>
                <a:schemeClr val="lt1"/>
              </a:solidFill>
              <a:latin typeface="Arial" pitchFamily="34" charset="0"/>
              <a:ea typeface="+mn-ea"/>
              <a:cs typeface="Arial" pitchFamily="34" charset="0"/>
            </a:rPr>
            <a:t>ex</a:t>
          </a:r>
          <a:r>
            <a:rPr lang="en-US" sz="1000" baseline="0">
              <a:solidFill>
                <a:schemeClr val="lt1"/>
              </a:solidFill>
              <a:latin typeface="Arial" pitchFamily="34" charset="0"/>
              <a:ea typeface="+mn-ea"/>
              <a:cs typeface="Arial" pitchFamily="34" charset="0"/>
            </a:rPr>
            <a:t>penses are not calculated in accordance with Circular 203/2009/TT-BTC (i.e. over-depreciation);</a:t>
          </a:r>
        </a:p>
        <a:p>
          <a:pPr algn="l"/>
          <a:r>
            <a:rPr lang="en-US" sz="1000" baseline="0">
              <a:latin typeface="Arial" pitchFamily="34" charset="0"/>
              <a:cs typeface="Arial" pitchFamily="34" charset="0"/>
            </a:rPr>
            <a:t>-  Depreciation expenses related to the historical cost of cars having 9-seat or less and registered from 1 January 2009 onwards exceeds VND1.6 billion;</a:t>
          </a:r>
        </a:p>
        <a:p>
          <a:pPr algn="l"/>
          <a:r>
            <a:rPr lang="en-US" sz="1000" baseline="0">
              <a:latin typeface="Arial" pitchFamily="34" charset="0"/>
              <a:cs typeface="Arial" pitchFamily="34" charset="0"/>
            </a:rPr>
            <a:t>-  Depreciation expenses in relation to construction assets located in land which is not used for "business" purposes;</a:t>
          </a:r>
        </a:p>
        <a:p>
          <a:pPr algn="l"/>
          <a:r>
            <a:rPr lang="en-US" sz="1000" baseline="0">
              <a:solidFill>
                <a:srgbClr val="FFC000"/>
              </a:solidFill>
              <a:latin typeface="Arial" pitchFamily="34" charset="0"/>
              <a:ea typeface="+mn-ea"/>
              <a:cs typeface="Arial" pitchFamily="34" charset="0"/>
            </a:rPr>
            <a:t>-  Depreciation of the fixed assets after they have been depreciated to their full value; </a:t>
          </a:r>
        </a:p>
        <a:p>
          <a:pPr algn="l"/>
          <a:r>
            <a:rPr lang="en-US" sz="1000" baseline="0">
              <a:solidFill>
                <a:srgbClr val="FFC000"/>
              </a:solidFill>
              <a:latin typeface="Arial" pitchFamily="34" charset="0"/>
              <a:ea typeface="+mn-ea"/>
              <a:cs typeface="Arial" pitchFamily="34" charset="0"/>
            </a:rPr>
            <a:t>-  Depreciation expenses of long-term land use rights;</a:t>
          </a:r>
        </a:p>
        <a:p>
          <a:pPr algn="l"/>
          <a:r>
            <a:rPr lang="en-US" sz="1000" baseline="0">
              <a:solidFill>
                <a:srgbClr val="FFC000"/>
              </a:solidFill>
              <a:latin typeface="Arial" pitchFamily="34" charset="0"/>
              <a:ea typeface="+mn-ea"/>
              <a:cs typeface="Arial" pitchFamily="34" charset="0"/>
            </a:rPr>
            <a:t>-  Over-allocated cost of tools and equipments (not qualified as fixed assets)  in accordance with Circular 123 (i.e. up to 2 years only)</a:t>
          </a:r>
        </a:p>
        <a:p>
          <a:pPr algn="l"/>
          <a:r>
            <a:rPr lang="en-US" sz="1000" baseline="0">
              <a:solidFill>
                <a:srgbClr val="FFC000"/>
              </a:solidFill>
              <a:latin typeface="Arial" pitchFamily="34" charset="0"/>
              <a:ea typeface="+mn-ea"/>
              <a:cs typeface="Arial" pitchFamily="34" charset="0"/>
            </a:rPr>
            <a:t>-  The depreciation method of the fixed asset has not been notified to the local tax authority.</a:t>
          </a:r>
        </a:p>
        <a:p>
          <a:pPr marL="0" marR="0" indent="0" algn="l" defTabSz="914400" eaLnBrk="1" fontAlgn="auto" latinLnBrk="0" hangingPunct="1">
            <a:lnSpc>
              <a:spcPct val="100000"/>
            </a:lnSpc>
            <a:spcBef>
              <a:spcPts val="0"/>
            </a:spcBef>
            <a:spcAft>
              <a:spcPts val="0"/>
            </a:spcAft>
            <a:buClrTx/>
            <a:buSzTx/>
            <a:buFontTx/>
            <a:buNone/>
            <a:tabLst/>
            <a:defRPr/>
          </a:pPr>
          <a:endParaRPr lang="en-US" sz="1100" baseline="0">
            <a:solidFill>
              <a:srgbClr val="FFC000"/>
            </a:solidFill>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endParaRPr lang="en-US" sz="1100" baseline="0">
            <a:solidFill>
              <a:srgbClr val="FFC000"/>
            </a:solidFill>
            <a:latin typeface="+mn-lt"/>
            <a:ea typeface="+mn-ea"/>
            <a:cs typeface="+mn-cs"/>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8</xdr:row>
      <xdr:rowOff>1</xdr:rowOff>
    </xdr:from>
    <xdr:to>
      <xdr:col>6</xdr:col>
      <xdr:colOff>561975</xdr:colOff>
      <xdr:row>19</xdr:row>
      <xdr:rowOff>152400</xdr:rowOff>
    </xdr:to>
    <xdr:sp macro="" textlink="">
      <xdr:nvSpPr>
        <xdr:cNvPr id="2" name="Round Diagonal Corner Rectangle 1"/>
        <xdr:cNvSpPr/>
      </xdr:nvSpPr>
      <xdr:spPr>
        <a:xfrm>
          <a:off x="361950" y="1600201"/>
          <a:ext cx="7686675" cy="1933574"/>
        </a:xfrm>
        <a:prstGeom prst="round2Diag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l"/>
          <a:r>
            <a:rPr lang="en-US" sz="1000" baseline="0">
              <a:latin typeface="Arial" pitchFamily="34" charset="0"/>
              <a:cs typeface="Arial" pitchFamily="34" charset="0"/>
            </a:rPr>
            <a:t>- </a:t>
          </a:r>
          <a:r>
            <a:rPr lang="vi-VN" sz="1000" baseline="0">
              <a:latin typeface="Arial" pitchFamily="34" charset="0"/>
              <a:cs typeface="Arial" pitchFamily="34" charset="0"/>
            </a:rPr>
            <a:t>C</a:t>
          </a:r>
          <a:r>
            <a:rPr lang="en-US" sz="1000" baseline="0">
              <a:latin typeface="Arial" pitchFamily="34" charset="0"/>
              <a:cs typeface="Arial" pitchFamily="34" charset="0"/>
            </a:rPr>
            <a:t>osts of </a:t>
          </a:r>
          <a:r>
            <a:rPr lang="vi-VN" sz="1000" baseline="0">
              <a:latin typeface="Arial" pitchFamily="34" charset="0"/>
              <a:cs typeface="Arial" pitchFamily="34" charset="0"/>
            </a:rPr>
            <a:t>raw </a:t>
          </a:r>
          <a:r>
            <a:rPr lang="en-US" sz="1000" baseline="0">
              <a:latin typeface="Arial" pitchFamily="34" charset="0"/>
              <a:cs typeface="Arial" pitchFamily="34" charset="0"/>
            </a:rPr>
            <a:t>materials, fuel, power, and goods </a:t>
          </a:r>
          <a:r>
            <a:rPr lang="vi-VN" sz="1000" baseline="0">
              <a:latin typeface="Arial" pitchFamily="34" charset="0"/>
              <a:cs typeface="Arial" pitchFamily="34" charset="0"/>
            </a:rPr>
            <a:t>which exceed </a:t>
          </a:r>
          <a:r>
            <a:rPr lang="en-US" sz="1000" baseline="0">
              <a:latin typeface="Arial" pitchFamily="34" charset="0"/>
              <a:cs typeface="Arial" pitchFamily="34" charset="0"/>
            </a:rPr>
            <a:t>the </a:t>
          </a:r>
          <a:r>
            <a:rPr lang="vi-VN" sz="1000" baseline="0">
              <a:latin typeface="Arial" pitchFamily="34" charset="0"/>
              <a:cs typeface="Arial" pitchFamily="34" charset="0"/>
            </a:rPr>
            <a:t>"</a:t>
          </a:r>
          <a:r>
            <a:rPr lang="en-US" sz="1000" baseline="0">
              <a:latin typeface="Arial" pitchFamily="34" charset="0"/>
              <a:cs typeface="Arial" pitchFamily="34" charset="0"/>
            </a:rPr>
            <a:t>reasonable</a:t>
          </a:r>
          <a:r>
            <a:rPr lang="vi-VN" sz="1000" baseline="0">
              <a:latin typeface="Arial" pitchFamily="34" charset="0"/>
              <a:cs typeface="Arial" pitchFamily="34" charset="0"/>
            </a:rPr>
            <a:t>"</a:t>
          </a:r>
          <a:r>
            <a:rPr lang="en-US" sz="1000" baseline="0">
              <a:latin typeface="Arial" pitchFamily="34" charset="0"/>
              <a:cs typeface="Arial" pitchFamily="34" charset="0"/>
            </a:rPr>
            <a:t> consumption level </a:t>
          </a:r>
          <a:r>
            <a:rPr lang="vi-VN" sz="1000" baseline="0">
              <a:latin typeface="Arial" pitchFamily="34" charset="0"/>
              <a:cs typeface="Arial" pitchFamily="34" charset="0"/>
            </a:rPr>
            <a:t>will NOT </a:t>
          </a:r>
          <a:r>
            <a:rPr lang="en-US" sz="1000" baseline="0">
              <a:latin typeface="Arial" pitchFamily="34" charset="0"/>
              <a:cs typeface="Arial" pitchFamily="34" charset="0"/>
            </a:rPr>
            <a:t>be deductible for CIT purpose</a:t>
          </a:r>
          <a:r>
            <a:rPr lang="vi-VN" sz="1000" baseline="0">
              <a:latin typeface="Arial" pitchFamily="34" charset="0"/>
              <a:cs typeface="Arial" pitchFamily="34" charset="0"/>
            </a:rPr>
            <a:t>s</a:t>
          </a:r>
          <a:r>
            <a:rPr lang="en-US" sz="1000" baseline="0">
              <a:latin typeface="Arial" pitchFamily="34" charset="0"/>
              <a:cs typeface="Arial" pitchFamily="34" charset="0"/>
            </a:rPr>
            <a:t>. </a:t>
          </a:r>
        </a:p>
        <a:p>
          <a:pPr algn="l"/>
          <a:endParaRPr lang="en-US" sz="1000" baseline="0">
            <a:latin typeface="Arial" pitchFamily="34" charset="0"/>
            <a:cs typeface="Arial" pitchFamily="34" charset="0"/>
          </a:endParaRPr>
        </a:p>
        <a:p>
          <a:pPr algn="l"/>
          <a:r>
            <a:rPr lang="en-US" sz="1000" baseline="0">
              <a:latin typeface="Arial" pitchFamily="34" charset="0"/>
              <a:cs typeface="Arial" pitchFamily="34" charset="0"/>
            </a:rPr>
            <a:t>The </a:t>
          </a:r>
          <a:r>
            <a:rPr lang="vi-VN" sz="1000" baseline="0">
              <a:latin typeface="Arial" pitchFamily="34" charset="0"/>
              <a:cs typeface="Arial" pitchFamily="34" charset="0"/>
            </a:rPr>
            <a:t>"</a:t>
          </a:r>
          <a:r>
            <a:rPr lang="en-US" sz="1000" baseline="0">
              <a:latin typeface="Arial" pitchFamily="34" charset="0"/>
              <a:cs typeface="Arial" pitchFamily="34" charset="0"/>
            </a:rPr>
            <a:t>reasonable</a:t>
          </a:r>
          <a:r>
            <a:rPr lang="vi-VN" sz="1000" baseline="0">
              <a:latin typeface="Arial" pitchFamily="34" charset="0"/>
              <a:cs typeface="Arial" pitchFamily="34" charset="0"/>
            </a:rPr>
            <a:t>"</a:t>
          </a:r>
          <a:r>
            <a:rPr lang="en-US" sz="1000" baseline="0">
              <a:latin typeface="Arial" pitchFamily="34" charset="0"/>
              <a:cs typeface="Arial" pitchFamily="34" charset="0"/>
            </a:rPr>
            <a:t> consumption level </a:t>
          </a:r>
          <a:r>
            <a:rPr lang="vi-VN" sz="1000" baseline="0">
              <a:latin typeface="Arial" pitchFamily="34" charset="0"/>
              <a:cs typeface="Arial" pitchFamily="34" charset="0"/>
            </a:rPr>
            <a:t>of raw materials, fuel, power, and g</a:t>
          </a:r>
          <a:r>
            <a:rPr lang="en-US" sz="1000" baseline="0">
              <a:latin typeface="Arial" pitchFamily="34" charset="0"/>
              <a:cs typeface="Arial" pitchFamily="34" charset="0"/>
            </a:rPr>
            <a:t>o</a:t>
          </a:r>
          <a:r>
            <a:rPr lang="vi-VN" sz="1000" baseline="0">
              <a:latin typeface="Arial" pitchFamily="34" charset="0"/>
              <a:cs typeface="Arial" pitchFamily="34" charset="0"/>
            </a:rPr>
            <a:t>ods will be </a:t>
          </a:r>
          <a:r>
            <a:rPr lang="en-US" sz="1000" baseline="0">
              <a:latin typeface="Arial" pitchFamily="34" charset="0"/>
              <a:cs typeface="Arial" pitchFamily="34" charset="0"/>
            </a:rPr>
            <a:t>determined by the business </a:t>
          </a:r>
          <a:r>
            <a:rPr lang="vi-VN" sz="1000" baseline="0">
              <a:latin typeface="Arial" pitchFamily="34" charset="0"/>
              <a:cs typeface="Arial" pitchFamily="34" charset="0"/>
            </a:rPr>
            <a:t>entity </a:t>
          </a:r>
          <a:r>
            <a:rPr lang="en-US" sz="1000" baseline="0">
              <a:latin typeface="Arial" pitchFamily="34" charset="0"/>
              <a:cs typeface="Arial" pitchFamily="34" charset="0"/>
            </a:rPr>
            <a:t>at the beginning of </a:t>
          </a:r>
          <a:r>
            <a:rPr lang="vi-VN" sz="1000" baseline="0">
              <a:latin typeface="Arial" pitchFamily="34" charset="0"/>
              <a:cs typeface="Arial" pitchFamily="34" charset="0"/>
            </a:rPr>
            <a:t>its operation </a:t>
          </a:r>
          <a:r>
            <a:rPr lang="en-US" sz="1000" baseline="0">
              <a:latin typeface="Arial" pitchFamily="34" charset="0"/>
              <a:cs typeface="Arial" pitchFamily="34" charset="0"/>
            </a:rPr>
            <a:t>year</a:t>
          </a:r>
          <a:r>
            <a:rPr lang="vi-VN" sz="1000" baseline="0">
              <a:latin typeface="Arial" pitchFamily="34" charset="0"/>
              <a:cs typeface="Arial" pitchFamily="34" charset="0"/>
            </a:rPr>
            <a:t>, and </a:t>
          </a:r>
          <a:r>
            <a:rPr lang="en-US" sz="1000" baseline="0">
              <a:latin typeface="Arial" pitchFamily="34" charset="0"/>
              <a:cs typeface="Arial" pitchFamily="34" charset="0"/>
            </a:rPr>
            <a:t>must be notified to the </a:t>
          </a:r>
          <a:r>
            <a:rPr lang="vi-VN" sz="1000" baseline="0">
              <a:latin typeface="Arial" pitchFamily="34" charset="0"/>
              <a:cs typeface="Arial" pitchFamily="34" charset="0"/>
            </a:rPr>
            <a:t>local </a:t>
          </a:r>
          <a:r>
            <a:rPr lang="en-US" sz="1000" baseline="0">
              <a:latin typeface="Arial" pitchFamily="34" charset="0"/>
              <a:cs typeface="Arial" pitchFamily="34" charset="0"/>
            </a:rPr>
            <a:t>tax authorities within 3 months</a:t>
          </a:r>
          <a:r>
            <a:rPr lang="vi-VN" sz="1000" baseline="0">
              <a:latin typeface="Arial" pitchFamily="34" charset="0"/>
              <a:cs typeface="Arial" pitchFamily="34" charset="0"/>
            </a:rPr>
            <a:t> from the </a:t>
          </a:r>
          <a:r>
            <a:rPr lang="en-US" sz="1000" baseline="0">
              <a:latin typeface="Arial" pitchFamily="34" charset="0"/>
              <a:cs typeface="Arial" pitchFamily="34" charset="0"/>
            </a:rPr>
            <a:t>beginning of the business activities or the effective </a:t>
          </a:r>
          <a:r>
            <a:rPr lang="vi-VN" sz="1000" baseline="0">
              <a:latin typeface="Arial" pitchFamily="34" charset="0"/>
              <a:cs typeface="Arial" pitchFamily="34" charset="0"/>
            </a:rPr>
            <a:t>date</a:t>
          </a:r>
          <a:r>
            <a:rPr lang="en-US" sz="1000" baseline="0">
              <a:latin typeface="Arial" pitchFamily="34" charset="0"/>
              <a:cs typeface="Arial" pitchFamily="34" charset="0"/>
            </a:rPr>
            <a:t>.  </a:t>
          </a:r>
          <a:r>
            <a:rPr lang="vi-VN" sz="1000" baseline="0">
              <a:latin typeface="Arial" pitchFamily="34" charset="0"/>
              <a:cs typeface="Arial" pitchFamily="34" charset="0"/>
            </a:rPr>
            <a:t>Any </a:t>
          </a:r>
          <a:r>
            <a:rPr lang="en-US" sz="1000" baseline="0">
              <a:latin typeface="Arial" pitchFamily="34" charset="0"/>
              <a:cs typeface="Arial" pitchFamily="34" charset="0"/>
            </a:rPr>
            <a:t>changes </a:t>
          </a:r>
          <a:r>
            <a:rPr lang="vi-VN" sz="1000" baseline="0">
              <a:latin typeface="Arial" pitchFamily="34" charset="0"/>
              <a:cs typeface="Arial" pitchFamily="34" charset="0"/>
            </a:rPr>
            <a:t>to the</a:t>
          </a:r>
          <a:r>
            <a:rPr lang="en-US" sz="1000" baseline="0">
              <a:latin typeface="Arial" pitchFamily="34" charset="0"/>
              <a:cs typeface="Arial" pitchFamily="34" charset="0"/>
            </a:rPr>
            <a:t> </a:t>
          </a:r>
          <a:r>
            <a:rPr lang="vi-VN" sz="1000" baseline="0">
              <a:latin typeface="Arial" pitchFamily="34" charset="0"/>
              <a:cs typeface="Arial" pitchFamily="34" charset="0"/>
            </a:rPr>
            <a:t>consumption level should be notified to the local tax authorities no later than the deadline for submission of  the </a:t>
          </a:r>
          <a:r>
            <a:rPr lang="en-US" sz="1000" baseline="0">
              <a:latin typeface="Arial" pitchFamily="34" charset="0"/>
              <a:cs typeface="Arial" pitchFamily="34" charset="0"/>
            </a:rPr>
            <a:t>annual tax </a:t>
          </a:r>
          <a:r>
            <a:rPr lang="vi-VN" sz="1000" baseline="0">
              <a:latin typeface="Arial" pitchFamily="34" charset="0"/>
              <a:cs typeface="Arial" pitchFamily="34" charset="0"/>
            </a:rPr>
            <a:t>finalisation </a:t>
          </a:r>
          <a:r>
            <a:rPr lang="en-US" sz="1000" baseline="0">
              <a:latin typeface="Arial" pitchFamily="34" charset="0"/>
              <a:cs typeface="Arial" pitchFamily="34" charset="0"/>
            </a:rPr>
            <a:t>return. In case of no notification for this consumption level is submitted, the tax authority has right to deem the consumption level of the business entity.</a:t>
          </a:r>
        </a:p>
        <a:p>
          <a:pPr algn="l"/>
          <a:endParaRPr lang="en-US" sz="1000" baseline="0">
            <a:latin typeface="Arial" pitchFamily="34" charset="0"/>
            <a:cs typeface="Arial" pitchFamily="34" charset="0"/>
          </a:endParaRPr>
        </a:p>
        <a:p>
          <a:pPr algn="l"/>
          <a:r>
            <a:rPr lang="en-US" sz="1000" baseline="0">
              <a:solidFill>
                <a:srgbClr val="FFC000"/>
              </a:solidFill>
              <a:latin typeface="Arial" pitchFamily="34" charset="0"/>
              <a:cs typeface="Arial" pitchFamily="34" charset="0"/>
            </a:rPr>
            <a:t>-  Cost of goods which are destroyed due to their expiry shall NOT be duductible for CIT purpose if not supported by proper supporting documents as stated in Point 2.1, Article 6 of Circular 123</a:t>
          </a:r>
        </a:p>
        <a:p>
          <a:pPr algn="l"/>
          <a:endParaRPr lang="en-US" sz="1000" baseline="0">
            <a:latin typeface="Arial" pitchFamily="34" charset="0"/>
            <a:cs typeface="Arial" pitchFamily="34" charset="0"/>
          </a:endParaRPr>
        </a:p>
        <a:p>
          <a:pPr algn="l"/>
          <a:endParaRPr lang="en-US" sz="1000" baseline="0">
            <a:solidFill>
              <a:srgbClr val="FF0000"/>
            </a:solidFill>
            <a:latin typeface="Arial" pitchFamily="34" charset="0"/>
            <a:cs typeface="Arial" pitchFamily="34" charset="0"/>
          </a:endParaRPr>
        </a:p>
        <a:p>
          <a:pPr algn="l"/>
          <a:endParaRPr lang="en-US" sz="1000" baseline="0">
            <a:latin typeface="Arial" pitchFamily="34" charset="0"/>
            <a:cs typeface="Arial" pitchFamily="34" charset="0"/>
          </a:endParaRPr>
        </a:p>
        <a:p>
          <a:pPr algn="l"/>
          <a:endParaRPr lang="en-US" sz="1000" baseline="0">
            <a:latin typeface="Arial" pitchFamily="34" charset="0"/>
            <a:cs typeface="Arial" pitchFamily="34" charset="0"/>
          </a:endParaRPr>
        </a:p>
        <a:p>
          <a:pPr algn="l"/>
          <a:endParaRPr lang="en-US" sz="1000" baseline="0">
            <a:latin typeface="Arial" pitchFamily="34" charset="0"/>
            <a:cs typeface="Arial" pitchFamily="34" charset="0"/>
          </a:endParaRPr>
        </a:p>
        <a:p>
          <a:pPr algn="l"/>
          <a:endParaRPr lang="en-US" sz="1000" baseline="0">
            <a:latin typeface="Arial" pitchFamily="34" charset="0"/>
            <a:cs typeface="Arial" pitchFamily="34" charset="0"/>
          </a:endParaRPr>
        </a:p>
        <a:p>
          <a:pPr algn="l"/>
          <a:endParaRPr lang="en-US" sz="1000" baseline="0">
            <a:latin typeface="Arial" pitchFamily="34" charset="0"/>
            <a:cs typeface="Arial" pitchFamily="34" charset="0"/>
          </a:endParaRPr>
        </a:p>
        <a:p>
          <a:pPr algn="l"/>
          <a:endParaRPr lang="en-US" sz="1000" baseline="0">
            <a:latin typeface="Arial" pitchFamily="34" charset="0"/>
            <a:cs typeface="Arial" pitchFamily="34" charset="0"/>
          </a:endParaRPr>
        </a:p>
        <a:p>
          <a:pPr algn="l"/>
          <a:endParaRPr lang="en-US" sz="1000" baseline="0">
            <a:latin typeface="Arial" pitchFamily="34" charset="0"/>
            <a:cs typeface="Arial" pitchFamily="34" charset="0"/>
          </a:endParaRPr>
        </a:p>
        <a:p>
          <a:pPr algn="l"/>
          <a:endParaRPr lang="en-US" sz="1000" baseline="0">
            <a:latin typeface="Arial" pitchFamily="34" charset="0"/>
            <a:cs typeface="Arial" pitchFamily="34" charset="0"/>
          </a:endParaRPr>
        </a:p>
        <a:p>
          <a:pPr algn="l"/>
          <a:endParaRPr lang="en-US" sz="1000" baseline="0">
            <a:latin typeface="Arial" pitchFamily="34" charset="0"/>
            <a:cs typeface="Arial" pitchFamily="34" charset="0"/>
          </a:endParaRPr>
        </a:p>
        <a:p>
          <a:pPr algn="l"/>
          <a:endParaRPr lang="en-US" sz="1000" baseline="0">
            <a:latin typeface="Arial" pitchFamily="34" charset="0"/>
            <a:cs typeface="Arial" pitchFamily="34" charset="0"/>
          </a:endParaRPr>
        </a:p>
        <a:p>
          <a:pPr algn="l"/>
          <a:endParaRPr lang="en-US" sz="1000" baseline="0">
            <a:latin typeface="Arial" pitchFamily="34" charset="0"/>
            <a:cs typeface="Arial" pitchFamily="34" charset="0"/>
          </a:endParaRPr>
        </a:p>
        <a:p>
          <a:pPr algn="l"/>
          <a:endParaRPr lang="en-US" sz="1000" baseline="0">
            <a:latin typeface="Arial" pitchFamily="34" charset="0"/>
            <a:cs typeface="Arial" pitchFamily="34" charset="0"/>
          </a:endParaRPr>
        </a:p>
        <a:p>
          <a:pPr algn="l"/>
          <a:endParaRPr lang="en-US" sz="1000" baseline="0">
            <a:latin typeface="Arial" pitchFamily="34" charset="0"/>
            <a:cs typeface="Arial" pitchFamily="34" charset="0"/>
          </a:endParaRPr>
        </a:p>
        <a:p>
          <a:pPr algn="l"/>
          <a:endParaRPr lang="en-US" sz="1000" baseline="0">
            <a:latin typeface="Arial" pitchFamily="34" charset="0"/>
            <a:cs typeface="Arial" pitchFamily="34" charset="0"/>
          </a:endParaRPr>
        </a:p>
        <a:p>
          <a:pPr algn="l"/>
          <a:endParaRPr lang="en-US" sz="1000" baseline="0">
            <a:latin typeface="Arial" pitchFamily="34" charset="0"/>
            <a:cs typeface="Arial" pitchFamily="34" charset="0"/>
          </a:endParaRPr>
        </a:p>
        <a:p>
          <a:pPr algn="l"/>
          <a:endParaRPr lang="en-US" sz="1000" baseline="0">
            <a:latin typeface="Arial" pitchFamily="34" charset="0"/>
            <a:cs typeface="Arial" pitchFamily="34" charset="0"/>
          </a:endParaRPr>
        </a:p>
        <a:p>
          <a:pPr algn="l"/>
          <a:endParaRPr lang="en-US" sz="1000" baseline="0">
            <a:latin typeface="Arial" pitchFamily="34" charset="0"/>
            <a:cs typeface="Arial" pitchFamily="34" charset="0"/>
          </a:endParaRPr>
        </a:p>
        <a:p>
          <a:pPr algn="l"/>
          <a:endParaRPr lang="en-US" sz="1000" baseline="0">
            <a:latin typeface="Arial" pitchFamily="34" charset="0"/>
            <a:cs typeface="Arial" pitchFamily="34" charset="0"/>
          </a:endParaRPr>
        </a:p>
        <a:p>
          <a:pPr algn="l"/>
          <a:endParaRPr lang="en-US" sz="1000" baseline="0">
            <a:latin typeface="Arial" pitchFamily="34" charset="0"/>
            <a:cs typeface="Arial" pitchFamily="34" charset="0"/>
          </a:endParaRPr>
        </a:p>
        <a:p>
          <a:pPr algn="l"/>
          <a:endParaRPr lang="en-US" sz="1000" baseline="0">
            <a:latin typeface="Arial" pitchFamily="34" charset="0"/>
            <a:cs typeface="Arial" pitchFamily="34" charset="0"/>
          </a:endParaRPr>
        </a:p>
        <a:p>
          <a:pPr algn="l"/>
          <a:endParaRPr lang="en-US" sz="1000" baseline="0">
            <a:latin typeface="Arial" pitchFamily="34" charset="0"/>
            <a:cs typeface="Arial" pitchFamily="34" charset="0"/>
          </a:endParaRPr>
        </a:p>
        <a:p>
          <a:pPr algn="l"/>
          <a:r>
            <a:rPr lang="en-US" sz="1000" baseline="0">
              <a:latin typeface="Arial" pitchFamily="34" charset="0"/>
              <a:cs typeface="Arial" pitchFamily="34" charset="0"/>
            </a:rPr>
            <a:t> </a:t>
          </a:r>
        </a:p>
      </xdr:txBody>
    </xdr:sp>
    <xdr:clientData/>
  </xdr:twoCellAnchor>
  <xdr:twoCellAnchor>
    <xdr:from>
      <xdr:col>1</xdr:col>
      <xdr:colOff>0</xdr:colOff>
      <xdr:row>30</xdr:row>
      <xdr:rowOff>0</xdr:rowOff>
    </xdr:from>
    <xdr:to>
      <xdr:col>6</xdr:col>
      <xdr:colOff>0</xdr:colOff>
      <xdr:row>30</xdr:row>
      <xdr:rowOff>1</xdr:rowOff>
    </xdr:to>
    <xdr:sp macro="" textlink="">
      <xdr:nvSpPr>
        <xdr:cNvPr id="5" name="TextBox 4"/>
        <xdr:cNvSpPr txBox="1"/>
      </xdr:nvSpPr>
      <xdr:spPr>
        <a:xfrm>
          <a:off x="361950" y="5991226"/>
          <a:ext cx="7124700" cy="952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en-US"/>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57150</xdr:colOff>
      <xdr:row>84</xdr:row>
      <xdr:rowOff>0</xdr:rowOff>
    </xdr:from>
    <xdr:to>
      <xdr:col>7</xdr:col>
      <xdr:colOff>247650</xdr:colOff>
      <xdr:row>84</xdr:row>
      <xdr:rowOff>0</xdr:rowOff>
    </xdr:to>
    <xdr:sp macro="" textlink="">
      <xdr:nvSpPr>
        <xdr:cNvPr id="2" name="Text Box 1"/>
        <xdr:cNvSpPr txBox="1">
          <a:spLocks noChangeArrowheads="1"/>
        </xdr:cNvSpPr>
      </xdr:nvSpPr>
      <xdr:spPr bwMode="auto">
        <a:xfrm>
          <a:off x="57150" y="16897350"/>
          <a:ext cx="7515225" cy="0"/>
        </a:xfrm>
        <a:prstGeom prst="rect">
          <a:avLst/>
        </a:prstGeom>
        <a:noFill/>
        <a:ln w="9525">
          <a:noFill/>
          <a:miter lim="800000"/>
          <a:headEnd/>
          <a:tailEnd/>
        </a:ln>
      </xdr:spPr>
      <xdr:txBody>
        <a:bodyPr vertOverflow="clip" wrap="square" lIns="27432" tIns="22860" rIns="0" bIns="0" anchor="t" upright="1"/>
        <a:lstStyle/>
        <a:p>
          <a:pPr algn="l" rtl="0">
            <a:defRPr sz="1000"/>
          </a:pPr>
          <a:r>
            <a:rPr lang="en-US" sz="800" b="0" i="0" u="none" strike="noStrike" baseline="0">
              <a:solidFill>
                <a:srgbClr val="000000"/>
              </a:solidFill>
              <a:latin typeface="Arial"/>
              <a:cs typeface="Arial"/>
            </a:rPr>
            <a:t>• Obtain the Company's tax audit minutes of the previous years (if available) to understand if there were any adjustments to this item and what item were subject to adjustments.</a:t>
          </a:r>
        </a:p>
        <a:p>
          <a:pPr algn="l" rtl="0">
            <a:defRPr sz="1000"/>
          </a:pPr>
          <a:r>
            <a:rPr lang="en-US" sz="800" b="0" i="0" u="none" strike="noStrike" baseline="0">
              <a:solidFill>
                <a:srgbClr val="000000"/>
              </a:solidFill>
              <a:latin typeface="Arial"/>
              <a:cs typeface="Arial"/>
            </a:rPr>
            <a:t>• Obtain the Company's trial balances and general ledger of randomly selected expense accounts</a:t>
          </a:r>
        </a:p>
        <a:p>
          <a:pPr algn="l" rtl="0">
            <a:defRPr sz="1000"/>
          </a:pPr>
          <a:r>
            <a:rPr lang="en-US" sz="800" b="0" i="0" u="none" strike="noStrike" baseline="0">
              <a:solidFill>
                <a:srgbClr val="000000"/>
              </a:solidFill>
              <a:latin typeface="Arial"/>
              <a:cs typeface="Arial"/>
            </a:rPr>
            <a:t>• Perform a sample review of supporting invoices of the Company's expenses and ensure that all the reviewed invoices are "legitimate" for CIT deduction purposes (e.g. a purchase of VND100,000 or more must be supported by a VAT invoices including all the statutory information).</a:t>
          </a:r>
        </a:p>
        <a:p>
          <a:pPr algn="l" rtl="0">
            <a:defRPr sz="1000"/>
          </a:pPr>
          <a:endParaRPr lang="en-US" sz="800" b="0" i="0" u="none" strike="noStrike" baseline="0">
            <a:solidFill>
              <a:srgbClr val="000000"/>
            </a:solidFill>
            <a:latin typeface="Arial"/>
            <a:cs typeface="Arial"/>
          </a:endParaRPr>
        </a:p>
        <a:p>
          <a:pPr algn="l" rtl="0">
            <a:defRPr sz="1000"/>
          </a:pPr>
          <a:endParaRPr lang="en-US" sz="800" b="0" i="0" u="none" strike="noStrike" baseline="0">
            <a:solidFill>
              <a:srgbClr val="000000"/>
            </a:solidFill>
            <a:latin typeface="Arial"/>
            <a:cs typeface="Arial"/>
          </a:endParaRPr>
        </a:p>
        <a:p>
          <a:pPr algn="l" rtl="0">
            <a:defRPr sz="1000"/>
          </a:pPr>
          <a:endParaRPr lang="en-US" sz="800" b="0" i="0" u="none" strike="noStrike" baseline="0">
            <a:solidFill>
              <a:srgbClr val="000000"/>
            </a:solidFill>
            <a:latin typeface="Arial"/>
            <a:cs typeface="Arial"/>
          </a:endParaRPr>
        </a:p>
        <a:p>
          <a:pPr algn="l" rtl="0">
            <a:defRPr sz="1000"/>
          </a:pPr>
          <a:endParaRPr lang="en-US" sz="800" b="0" i="0" u="none" strike="noStrike" baseline="0">
            <a:solidFill>
              <a:srgbClr val="000000"/>
            </a:solidFill>
            <a:latin typeface="Arial"/>
            <a:cs typeface="Arial"/>
          </a:endParaRPr>
        </a:p>
      </xdr:txBody>
    </xdr:sp>
    <xdr:clientData/>
  </xdr:twoCellAnchor>
  <xdr:twoCellAnchor>
    <xdr:from>
      <xdr:col>0</xdr:col>
      <xdr:colOff>85725</xdr:colOff>
      <xdr:row>84</xdr:row>
      <xdr:rowOff>0</xdr:rowOff>
    </xdr:from>
    <xdr:to>
      <xdr:col>7</xdr:col>
      <xdr:colOff>276225</xdr:colOff>
      <xdr:row>84</xdr:row>
      <xdr:rowOff>0</xdr:rowOff>
    </xdr:to>
    <xdr:sp macro="" textlink="">
      <xdr:nvSpPr>
        <xdr:cNvPr id="3" name="Text Box 2"/>
        <xdr:cNvSpPr txBox="1">
          <a:spLocks noChangeArrowheads="1"/>
        </xdr:cNvSpPr>
      </xdr:nvSpPr>
      <xdr:spPr bwMode="auto">
        <a:xfrm>
          <a:off x="85725" y="16897350"/>
          <a:ext cx="7515225" cy="0"/>
        </a:xfrm>
        <a:prstGeom prst="rect">
          <a:avLst/>
        </a:prstGeom>
        <a:noFill/>
        <a:ln w="9525">
          <a:noFill/>
          <a:miter lim="800000"/>
          <a:headEnd/>
          <a:tailEnd/>
        </a:ln>
      </xdr:spPr>
      <xdr:txBody>
        <a:bodyPr vertOverflow="clip" wrap="square" lIns="27432" tIns="22860" rIns="0" bIns="0" anchor="t" upright="1"/>
        <a:lstStyle/>
        <a:p>
          <a:pPr algn="l" rtl="0">
            <a:defRPr sz="1000"/>
          </a:pPr>
          <a:r>
            <a:rPr lang="en-US" sz="800" b="0" i="0" u="none" strike="noStrike" baseline="0">
              <a:solidFill>
                <a:srgbClr val="000000"/>
              </a:solidFill>
              <a:latin typeface="Arial"/>
              <a:cs typeface="Arial"/>
            </a:rPr>
            <a:t>• Obtain the list of auditor’s adjustments regarding revenue (if any).</a:t>
          </a:r>
        </a:p>
        <a:p>
          <a:pPr algn="l" rtl="0">
            <a:defRPr sz="1000"/>
          </a:pPr>
          <a:r>
            <a:rPr lang="en-US" sz="800" b="0" i="0" u="none" strike="noStrike" baseline="0">
              <a:solidFill>
                <a:srgbClr val="000000"/>
              </a:solidFill>
              <a:latin typeface="Arial"/>
              <a:cs typeface="Arial"/>
            </a:rPr>
            <a:t>• Reconciliation between revenue in P/L with accumulated revenue declared in monthly declaration.</a:t>
          </a:r>
        </a:p>
        <a:p>
          <a:pPr algn="l" rtl="0">
            <a:defRPr sz="1000"/>
          </a:pPr>
          <a:r>
            <a:rPr lang="en-US" sz="800" b="0" i="0" u="none" strike="noStrike" baseline="0">
              <a:solidFill>
                <a:srgbClr val="000000"/>
              </a:solidFill>
              <a:latin typeface="Arial"/>
              <a:cs typeface="Arial"/>
            </a:rPr>
            <a:t>• Points to consider:</a:t>
          </a:r>
        </a:p>
        <a:p>
          <a:pPr algn="l" rtl="0">
            <a:defRPr sz="1000"/>
          </a:pPr>
          <a:r>
            <a:rPr lang="en-US" sz="800" b="0" i="0" u="none" strike="noStrike" baseline="0">
              <a:solidFill>
                <a:srgbClr val="000000"/>
              </a:solidFill>
              <a:latin typeface="Arial"/>
              <a:cs typeface="Arial"/>
            </a:rPr>
            <a:t>- Sales recognition: Does the Company recognise its sales in accordance with the current CIT regulations? If not, an appropriate adjustment is required.</a:t>
          </a:r>
        </a:p>
        <a:p>
          <a:pPr algn="l" rtl="0">
            <a:defRPr sz="1000"/>
          </a:pPr>
          <a:r>
            <a:rPr lang="en-US" sz="800" b="0" i="0" u="none" strike="noStrike" baseline="0">
              <a:solidFill>
                <a:srgbClr val="000000"/>
              </a:solidFill>
              <a:latin typeface="Arial"/>
              <a:cs typeface="Arial"/>
            </a:rPr>
            <a:t>- Sales offset: Does the Company directly offset its Receivables against its Payables without recording to its revenue in the P/L accounts? If yes, an appropriate adjustment is required.</a:t>
          </a:r>
        </a:p>
        <a:p>
          <a:pPr algn="l" rtl="0">
            <a:defRPr sz="1000"/>
          </a:pPr>
          <a:r>
            <a:rPr lang="en-US" sz="800" b="0" i="0" u="none" strike="noStrike" baseline="0">
              <a:solidFill>
                <a:srgbClr val="000000"/>
              </a:solidFill>
              <a:latin typeface="Arial"/>
              <a:cs typeface="Arial"/>
            </a:rPr>
            <a:t>- Sales reduction: Does the Company maintain appropriate supporting documents for its sales discounts, sales allowance, and/or goods returned? If not, an appropriate adjustment is required.</a:t>
          </a:r>
        </a:p>
        <a:p>
          <a:pPr algn="l" rtl="0">
            <a:defRPr sz="1000"/>
          </a:pPr>
          <a:r>
            <a:rPr lang="en-US" sz="800" b="0" i="0" u="none" strike="noStrike" baseline="0">
              <a:solidFill>
                <a:srgbClr val="000000"/>
              </a:solidFill>
              <a:latin typeface="Arial"/>
              <a:cs typeface="Arial"/>
            </a:rPr>
            <a:t>- Other sales activities: Does the Company record have internal consumption or give gifts/presents to its employees and/or other third party, or sell goods and/or services on a deferred payment basis? Is the Company's sales recognised in accordance with the CIT regulations?  If not, an appropriate adjustment is required.</a:t>
          </a:r>
        </a:p>
      </xdr:txBody>
    </xdr:sp>
    <xdr:clientData/>
  </xdr:twoCellAnchor>
  <xdr:twoCellAnchor>
    <xdr:from>
      <xdr:col>1</xdr:col>
      <xdr:colOff>9524</xdr:colOff>
      <xdr:row>7</xdr:row>
      <xdr:rowOff>142873</xdr:rowOff>
    </xdr:from>
    <xdr:to>
      <xdr:col>7</xdr:col>
      <xdr:colOff>428625</xdr:colOff>
      <xdr:row>22</xdr:row>
      <xdr:rowOff>190499</xdr:rowOff>
    </xdr:to>
    <xdr:sp macro="" textlink="">
      <xdr:nvSpPr>
        <xdr:cNvPr id="4" name="Round Diagonal Corner Rectangle 3"/>
        <xdr:cNvSpPr/>
      </xdr:nvSpPr>
      <xdr:spPr>
        <a:xfrm>
          <a:off x="257174" y="1552573"/>
          <a:ext cx="7496176" cy="3048001"/>
        </a:xfrm>
        <a:prstGeom prst="round2Diag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l"/>
          <a:r>
            <a:rPr lang="en-US" sz="1000" baseline="0">
              <a:solidFill>
                <a:schemeClr val="bg1"/>
              </a:solidFill>
              <a:latin typeface="Arial" pitchFamily="34" charset="0"/>
              <a:ea typeface="+mn-ea"/>
              <a:cs typeface="Arial" pitchFamily="34" charset="0"/>
            </a:rPr>
            <a:t>Interest expenses will be NOT deductible for CIT purposes if they fall under one of the following circumstances:</a:t>
          </a:r>
        </a:p>
        <a:p>
          <a:pPr algn="l"/>
          <a:endParaRPr lang="en-US" sz="1000" baseline="0">
            <a:solidFill>
              <a:schemeClr val="bg1"/>
            </a:solidFill>
            <a:latin typeface="Arial" pitchFamily="34" charset="0"/>
            <a:ea typeface="+mn-ea"/>
            <a:cs typeface="Arial" pitchFamily="34" charset="0"/>
          </a:endParaRPr>
        </a:p>
        <a:p>
          <a:pPr algn="l"/>
          <a:r>
            <a:rPr lang="en-US" sz="1000" baseline="0">
              <a:solidFill>
                <a:schemeClr val="bg1"/>
              </a:solidFill>
              <a:latin typeface="Arial" pitchFamily="34" charset="0"/>
              <a:ea typeface="+mn-ea"/>
              <a:cs typeface="Arial" pitchFamily="34" charset="0"/>
            </a:rPr>
            <a:t>-  Interest expenses which are paid to a non-credit institution and exceed 1.5 times of the prime borrowing rate promulgated by the State Bank of Vietnam (SBV) at the borrowing date.</a:t>
          </a:r>
        </a:p>
        <a:p>
          <a:pPr algn="l"/>
          <a:endParaRPr lang="en-US" sz="1000" baseline="0">
            <a:solidFill>
              <a:schemeClr val="bg1"/>
            </a:solidFill>
            <a:latin typeface="Arial" pitchFamily="34" charset="0"/>
            <a:ea typeface="+mn-ea"/>
            <a:cs typeface="Arial" pitchFamily="34" charset="0"/>
          </a:endParaRPr>
        </a:p>
        <a:p>
          <a:pPr algn="l"/>
          <a:r>
            <a:rPr lang="en-US" sz="1000" baseline="0">
              <a:solidFill>
                <a:schemeClr val="bg1"/>
              </a:solidFill>
              <a:latin typeface="Arial" pitchFamily="34" charset="0"/>
              <a:ea typeface="+mn-ea"/>
              <a:cs typeface="Arial" pitchFamily="34" charset="0"/>
            </a:rPr>
            <a:t>-  Interest expenses which are incurred in relation to loans obtained for the contribution of chartered capital or the chartered capital which has not been contributed in accordance with the capital contribution schedule stated in the entity's charter</a:t>
          </a:r>
          <a:r>
            <a:rPr lang="en-US" sz="1000" baseline="0">
              <a:solidFill>
                <a:schemeClr val="bg1"/>
              </a:solidFill>
              <a:latin typeface="Arial" pitchFamily="34" charset="0"/>
              <a:cs typeface="Arial" pitchFamily="34" charset="0"/>
            </a:rPr>
            <a:t>.</a:t>
          </a:r>
        </a:p>
        <a:p>
          <a:pPr algn="l"/>
          <a:endParaRPr lang="en-US" sz="1000" baseline="0">
            <a:solidFill>
              <a:schemeClr val="bg1"/>
            </a:solidFill>
            <a:latin typeface="Arial" pitchFamily="34" charset="0"/>
            <a:cs typeface="Arial" pitchFamily="34" charset="0"/>
          </a:endParaRPr>
        </a:p>
        <a:p>
          <a:pPr algn="l"/>
          <a:r>
            <a:rPr lang="en-US" sz="1000" baseline="0">
              <a:solidFill>
                <a:schemeClr val="bg1"/>
              </a:solidFill>
              <a:latin typeface="Arial" pitchFamily="34" charset="0"/>
              <a:cs typeface="Arial" pitchFamily="34" charset="0"/>
            </a:rPr>
            <a:t>-  Medium and long term offshore loans are required to r</a:t>
          </a:r>
          <a:r>
            <a:rPr lang="en-US" sz="1000" baseline="0">
              <a:latin typeface="Arial" pitchFamily="34" charset="0"/>
              <a:cs typeface="Arial" pitchFamily="34" charset="0"/>
            </a:rPr>
            <a:t>egister with SBV under Circular 91/2004/TT-NHNN dated 21 December 2004 or Circular 25/2011/TT-NHNN dated 31 August 2011</a:t>
          </a:r>
        </a:p>
        <a:p>
          <a:pPr algn="l"/>
          <a:endParaRPr lang="en-US" sz="1000" baseline="0">
            <a:latin typeface="Arial" pitchFamily="34" charset="0"/>
            <a:cs typeface="Arial" pitchFamily="34" charset="0"/>
          </a:endParaRPr>
        </a:p>
        <a:p>
          <a:pPr algn="l"/>
          <a:r>
            <a:rPr lang="en-US" sz="1000" baseline="0">
              <a:solidFill>
                <a:srgbClr val="FFC000"/>
              </a:solidFill>
              <a:latin typeface="Arial" pitchFamily="34" charset="0"/>
              <a:cs typeface="Arial" pitchFamily="34" charset="0"/>
            </a:rPr>
            <a:t>-  </a:t>
          </a:r>
          <a:r>
            <a:rPr lang="en-US" sz="1000" baseline="0">
              <a:solidFill>
                <a:srgbClr val="FFC000"/>
              </a:solidFill>
              <a:latin typeface="Arial" pitchFamily="34" charset="0"/>
              <a:ea typeface="+mn-ea"/>
              <a:cs typeface="Arial" pitchFamily="34" charset="0"/>
            </a:rPr>
            <a:t>OL 6194/CT-TTHT dated 17 September 2012 of the Ho Chi Minh City Tax Department (as attached herewith):  interest expenses of a loan agreement will not deductible for CIT purposes if as at the signing date of the loan agreement the entity's balance of cash-in accounts and cash-at bank accounts equals to or exceeds the principal loan amount.  </a:t>
          </a:r>
        </a:p>
        <a:p>
          <a:pPr algn="l"/>
          <a:r>
            <a:rPr lang="en-US" sz="1000" baseline="0">
              <a:solidFill>
                <a:srgbClr val="FFC000"/>
              </a:solidFill>
              <a:latin typeface="Arial" pitchFamily="34" charset="0"/>
              <a:cs typeface="Arial" pitchFamily="34" charset="0"/>
            </a:rPr>
            <a:t>The negative treatment of a local tax department should be highlighted to the client for their awareness and decision on whether the associated interest expense should be adjusted or not.</a:t>
          </a:r>
        </a:p>
        <a:p>
          <a:pPr algn="l"/>
          <a:r>
            <a:rPr lang="en-US" sz="1000" baseline="0">
              <a:solidFill>
                <a:srgbClr val="FFC000"/>
              </a:solidFill>
              <a:latin typeface="Arial" pitchFamily="34" charset="0"/>
              <a:cs typeface="Arial" pitchFamily="34" charset="0"/>
            </a:rPr>
            <a:t>Of a related note, in case the client grants a loan agreement A with interest charge while provides a loan B with free of charge, the interest expense of the loan agreement A associated with principle loan amount B would not be deductible. </a:t>
          </a:r>
        </a:p>
        <a:p>
          <a:pPr algn="l"/>
          <a:endParaRPr lang="en-US" sz="1000" baseline="0">
            <a:solidFill>
              <a:schemeClr val="bg1"/>
            </a:solidFill>
            <a:latin typeface="Arial" pitchFamily="34" charset="0"/>
            <a:ea typeface="+mn-ea"/>
            <a:cs typeface="Arial" pitchFamily="34" charset="0"/>
          </a:endParaRPr>
        </a:p>
      </xdr:txBody>
    </xdr:sp>
    <xdr:clientData/>
  </xdr:twoCellAnchor>
  <xdr:twoCellAnchor>
    <xdr:from>
      <xdr:col>0</xdr:col>
      <xdr:colOff>57150</xdr:colOff>
      <xdr:row>66</xdr:row>
      <xdr:rowOff>0</xdr:rowOff>
    </xdr:from>
    <xdr:to>
      <xdr:col>7</xdr:col>
      <xdr:colOff>247650</xdr:colOff>
      <xdr:row>66</xdr:row>
      <xdr:rowOff>0</xdr:rowOff>
    </xdr:to>
    <xdr:sp macro="" textlink="">
      <xdr:nvSpPr>
        <xdr:cNvPr id="5" name="Text Box 1"/>
        <xdr:cNvSpPr txBox="1">
          <a:spLocks noChangeArrowheads="1"/>
        </xdr:cNvSpPr>
      </xdr:nvSpPr>
      <xdr:spPr bwMode="auto">
        <a:xfrm>
          <a:off x="57150" y="13468350"/>
          <a:ext cx="7515225" cy="0"/>
        </a:xfrm>
        <a:prstGeom prst="rect">
          <a:avLst/>
        </a:prstGeom>
        <a:noFill/>
        <a:ln w="9525">
          <a:noFill/>
          <a:miter lim="800000"/>
          <a:headEnd/>
          <a:tailEnd/>
        </a:ln>
      </xdr:spPr>
      <xdr:txBody>
        <a:bodyPr vertOverflow="clip" wrap="square" lIns="27432" tIns="22860" rIns="0" bIns="0" anchor="t" upright="1"/>
        <a:lstStyle/>
        <a:p>
          <a:pPr algn="l" rtl="0">
            <a:defRPr sz="1000"/>
          </a:pPr>
          <a:r>
            <a:rPr lang="en-US" sz="800" b="0" i="0" u="none" strike="noStrike" baseline="0">
              <a:solidFill>
                <a:srgbClr val="000000"/>
              </a:solidFill>
              <a:latin typeface="Arial"/>
              <a:cs typeface="Arial"/>
            </a:rPr>
            <a:t>• Obtain the Company's tax audit minutes of the previous years (if available) to understand if there were any adjustments to this item and what item were subject to adjustments.</a:t>
          </a:r>
        </a:p>
        <a:p>
          <a:pPr algn="l" rtl="0">
            <a:defRPr sz="1000"/>
          </a:pPr>
          <a:r>
            <a:rPr lang="en-US" sz="800" b="0" i="0" u="none" strike="noStrike" baseline="0">
              <a:solidFill>
                <a:srgbClr val="000000"/>
              </a:solidFill>
              <a:latin typeface="Arial"/>
              <a:cs typeface="Arial"/>
            </a:rPr>
            <a:t>• Obtain the Company's trial balances and general ledger of randomly selected expense accounts</a:t>
          </a:r>
        </a:p>
        <a:p>
          <a:pPr algn="l" rtl="0">
            <a:defRPr sz="1000"/>
          </a:pPr>
          <a:r>
            <a:rPr lang="en-US" sz="800" b="0" i="0" u="none" strike="noStrike" baseline="0">
              <a:solidFill>
                <a:srgbClr val="000000"/>
              </a:solidFill>
              <a:latin typeface="Arial"/>
              <a:cs typeface="Arial"/>
            </a:rPr>
            <a:t>• Perform a sample review of supporting invoices of the Company's expenses and ensure that all the reviewed invoices are "legitimate" for CIT deduction purposes (e.g. a purchase of VND100,000 or more must be supported by a VAT invoices including all the statutory information).</a:t>
          </a:r>
        </a:p>
        <a:p>
          <a:pPr algn="l" rtl="0">
            <a:defRPr sz="1000"/>
          </a:pPr>
          <a:endParaRPr lang="en-US" sz="800" b="0" i="0" u="none" strike="noStrike" baseline="0">
            <a:solidFill>
              <a:srgbClr val="000000"/>
            </a:solidFill>
            <a:latin typeface="Arial"/>
            <a:cs typeface="Arial"/>
          </a:endParaRPr>
        </a:p>
        <a:p>
          <a:pPr algn="l" rtl="0">
            <a:defRPr sz="1000"/>
          </a:pPr>
          <a:endParaRPr lang="en-US" sz="800" b="0" i="0" u="none" strike="noStrike" baseline="0">
            <a:solidFill>
              <a:srgbClr val="000000"/>
            </a:solidFill>
            <a:latin typeface="Arial"/>
            <a:cs typeface="Arial"/>
          </a:endParaRPr>
        </a:p>
        <a:p>
          <a:pPr algn="l" rtl="0">
            <a:defRPr sz="1000"/>
          </a:pPr>
          <a:endParaRPr lang="en-US" sz="800" b="0" i="0" u="none" strike="noStrike" baseline="0">
            <a:solidFill>
              <a:srgbClr val="000000"/>
            </a:solidFill>
            <a:latin typeface="Arial"/>
            <a:cs typeface="Arial"/>
          </a:endParaRPr>
        </a:p>
        <a:p>
          <a:pPr algn="l" rtl="0">
            <a:defRPr sz="1000"/>
          </a:pPr>
          <a:endParaRPr lang="en-US" sz="800" b="0" i="0" u="none" strike="noStrike" baseline="0">
            <a:solidFill>
              <a:srgbClr val="000000"/>
            </a:solidFill>
            <a:latin typeface="Arial"/>
            <a:cs typeface="Arial"/>
          </a:endParaRPr>
        </a:p>
      </xdr:txBody>
    </xdr:sp>
    <xdr:clientData/>
  </xdr:twoCellAnchor>
  <xdr:twoCellAnchor>
    <xdr:from>
      <xdr:col>0</xdr:col>
      <xdr:colOff>85725</xdr:colOff>
      <xdr:row>66</xdr:row>
      <xdr:rowOff>0</xdr:rowOff>
    </xdr:from>
    <xdr:to>
      <xdr:col>7</xdr:col>
      <xdr:colOff>276225</xdr:colOff>
      <xdr:row>66</xdr:row>
      <xdr:rowOff>0</xdr:rowOff>
    </xdr:to>
    <xdr:sp macro="" textlink="">
      <xdr:nvSpPr>
        <xdr:cNvPr id="6" name="Text Box 2"/>
        <xdr:cNvSpPr txBox="1">
          <a:spLocks noChangeArrowheads="1"/>
        </xdr:cNvSpPr>
      </xdr:nvSpPr>
      <xdr:spPr bwMode="auto">
        <a:xfrm>
          <a:off x="85725" y="13468350"/>
          <a:ext cx="7515225" cy="0"/>
        </a:xfrm>
        <a:prstGeom prst="rect">
          <a:avLst/>
        </a:prstGeom>
        <a:noFill/>
        <a:ln w="9525">
          <a:noFill/>
          <a:miter lim="800000"/>
          <a:headEnd/>
          <a:tailEnd/>
        </a:ln>
      </xdr:spPr>
      <xdr:txBody>
        <a:bodyPr vertOverflow="clip" wrap="square" lIns="27432" tIns="22860" rIns="0" bIns="0" anchor="t" upright="1"/>
        <a:lstStyle/>
        <a:p>
          <a:pPr algn="l" rtl="0">
            <a:defRPr sz="1000"/>
          </a:pPr>
          <a:r>
            <a:rPr lang="en-US" sz="800" b="0" i="0" u="none" strike="noStrike" baseline="0">
              <a:solidFill>
                <a:srgbClr val="000000"/>
              </a:solidFill>
              <a:latin typeface="Arial"/>
              <a:cs typeface="Arial"/>
            </a:rPr>
            <a:t>• Obtain the list of auditor’s adjustments regarding revenue (if any).</a:t>
          </a:r>
        </a:p>
        <a:p>
          <a:pPr algn="l" rtl="0">
            <a:defRPr sz="1000"/>
          </a:pPr>
          <a:r>
            <a:rPr lang="en-US" sz="800" b="0" i="0" u="none" strike="noStrike" baseline="0">
              <a:solidFill>
                <a:srgbClr val="000000"/>
              </a:solidFill>
              <a:latin typeface="Arial"/>
              <a:cs typeface="Arial"/>
            </a:rPr>
            <a:t>• Reconciliation between revenue in P/L with accumulated revenue declared in monthly declaration.</a:t>
          </a:r>
        </a:p>
        <a:p>
          <a:pPr algn="l" rtl="0">
            <a:defRPr sz="1000"/>
          </a:pPr>
          <a:r>
            <a:rPr lang="en-US" sz="800" b="0" i="0" u="none" strike="noStrike" baseline="0">
              <a:solidFill>
                <a:srgbClr val="000000"/>
              </a:solidFill>
              <a:latin typeface="Arial"/>
              <a:cs typeface="Arial"/>
            </a:rPr>
            <a:t>• Points to consider:</a:t>
          </a:r>
        </a:p>
        <a:p>
          <a:pPr algn="l" rtl="0">
            <a:defRPr sz="1000"/>
          </a:pPr>
          <a:r>
            <a:rPr lang="en-US" sz="800" b="0" i="0" u="none" strike="noStrike" baseline="0">
              <a:solidFill>
                <a:srgbClr val="000000"/>
              </a:solidFill>
              <a:latin typeface="Arial"/>
              <a:cs typeface="Arial"/>
            </a:rPr>
            <a:t>- Sales recognition: Does the Company recognise its sales in accordance with the current CIT regulations? If not, an appropriate adjustment is required.</a:t>
          </a:r>
        </a:p>
        <a:p>
          <a:pPr algn="l" rtl="0">
            <a:defRPr sz="1000"/>
          </a:pPr>
          <a:r>
            <a:rPr lang="en-US" sz="800" b="0" i="0" u="none" strike="noStrike" baseline="0">
              <a:solidFill>
                <a:srgbClr val="000000"/>
              </a:solidFill>
              <a:latin typeface="Arial"/>
              <a:cs typeface="Arial"/>
            </a:rPr>
            <a:t>- Sales offset: Does the Company directly offset its Receivables against its Payables without recording to its revenue in the P/L accounts? If yes, an appropriate adjustment is required.</a:t>
          </a:r>
        </a:p>
        <a:p>
          <a:pPr algn="l" rtl="0">
            <a:defRPr sz="1000"/>
          </a:pPr>
          <a:r>
            <a:rPr lang="en-US" sz="800" b="0" i="0" u="none" strike="noStrike" baseline="0">
              <a:solidFill>
                <a:srgbClr val="000000"/>
              </a:solidFill>
              <a:latin typeface="Arial"/>
              <a:cs typeface="Arial"/>
            </a:rPr>
            <a:t>- Sales reduction: Does the Company maintain appropriate supporting documents for its sales discounts, sales allowance, and/or goods returned? If not, an appropriate adjustment is required.</a:t>
          </a:r>
        </a:p>
        <a:p>
          <a:pPr algn="l" rtl="0">
            <a:defRPr sz="1000"/>
          </a:pPr>
          <a:r>
            <a:rPr lang="en-US" sz="800" b="0" i="0" u="none" strike="noStrike" baseline="0">
              <a:solidFill>
                <a:srgbClr val="000000"/>
              </a:solidFill>
              <a:latin typeface="Arial"/>
              <a:cs typeface="Arial"/>
            </a:rPr>
            <a:t>- Other sales activities: Does the Company record have internal consumption or give gifts/presents to its employees and/or other third party, or sell goods and/or services on a deferred payment basis? Is the Company's sales recognised in accordance with the CIT regulations?  If not, an appropriate adjustment is required.</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57150</xdr:colOff>
      <xdr:row>39</xdr:row>
      <xdr:rowOff>0</xdr:rowOff>
    </xdr:from>
    <xdr:to>
      <xdr:col>7</xdr:col>
      <xdr:colOff>247650</xdr:colOff>
      <xdr:row>39</xdr:row>
      <xdr:rowOff>0</xdr:rowOff>
    </xdr:to>
    <xdr:sp macro="" textlink="">
      <xdr:nvSpPr>
        <xdr:cNvPr id="2" name="Text Box 1"/>
        <xdr:cNvSpPr txBox="1">
          <a:spLocks noChangeArrowheads="1"/>
        </xdr:cNvSpPr>
      </xdr:nvSpPr>
      <xdr:spPr bwMode="auto">
        <a:xfrm>
          <a:off x="57150" y="8582025"/>
          <a:ext cx="7143750" cy="0"/>
        </a:xfrm>
        <a:prstGeom prst="rect">
          <a:avLst/>
        </a:prstGeom>
        <a:noFill/>
        <a:ln w="9525">
          <a:noFill/>
          <a:miter lim="800000"/>
          <a:headEnd/>
          <a:tailEnd/>
        </a:ln>
      </xdr:spPr>
      <xdr:txBody>
        <a:bodyPr vertOverflow="clip" wrap="square" lIns="27432" tIns="22860" rIns="0" bIns="0" anchor="t" upright="1"/>
        <a:lstStyle/>
        <a:p>
          <a:pPr algn="l" rtl="0">
            <a:defRPr sz="1000"/>
          </a:pPr>
          <a:r>
            <a:rPr lang="en-US" sz="800" b="0" i="0" u="none" strike="noStrike" baseline="0">
              <a:solidFill>
                <a:srgbClr val="000000"/>
              </a:solidFill>
              <a:latin typeface="Arial"/>
              <a:cs typeface="Arial"/>
            </a:rPr>
            <a:t>• Obtain the Company's tax audit minutes of the previous years (if available) to understand if there were any adjustments to this item and what item were subject to adjustments.</a:t>
          </a:r>
        </a:p>
        <a:p>
          <a:pPr algn="l" rtl="0">
            <a:defRPr sz="1000"/>
          </a:pPr>
          <a:r>
            <a:rPr lang="en-US" sz="800" b="0" i="0" u="none" strike="noStrike" baseline="0">
              <a:solidFill>
                <a:srgbClr val="000000"/>
              </a:solidFill>
              <a:latin typeface="Arial"/>
              <a:cs typeface="Arial"/>
            </a:rPr>
            <a:t>• Obtain the Company's trial balances and general ledger of randomly selected expense accounts</a:t>
          </a:r>
        </a:p>
        <a:p>
          <a:pPr algn="l" rtl="0">
            <a:defRPr sz="1000"/>
          </a:pPr>
          <a:r>
            <a:rPr lang="en-US" sz="800" b="0" i="0" u="none" strike="noStrike" baseline="0">
              <a:solidFill>
                <a:srgbClr val="000000"/>
              </a:solidFill>
              <a:latin typeface="Arial"/>
              <a:cs typeface="Arial"/>
            </a:rPr>
            <a:t>• Perform a sample review of supporting invoices of the Company's expenses and ensure that all the reviewed invoices are "legitimate" for CIT deduction purposes (e.g. a purchase of VND100,000 or more must be supported by a VAT invoices including all the statutory information).</a:t>
          </a:r>
        </a:p>
        <a:p>
          <a:pPr algn="l" rtl="0">
            <a:defRPr sz="1000"/>
          </a:pPr>
          <a:endParaRPr lang="en-US" sz="800" b="0" i="0" u="none" strike="noStrike" baseline="0">
            <a:solidFill>
              <a:srgbClr val="000000"/>
            </a:solidFill>
            <a:latin typeface="Arial"/>
            <a:cs typeface="Arial"/>
          </a:endParaRPr>
        </a:p>
        <a:p>
          <a:pPr algn="l" rtl="0">
            <a:defRPr sz="1000"/>
          </a:pPr>
          <a:endParaRPr lang="en-US" sz="800" b="0" i="0" u="none" strike="noStrike" baseline="0">
            <a:solidFill>
              <a:srgbClr val="000000"/>
            </a:solidFill>
            <a:latin typeface="Arial"/>
            <a:cs typeface="Arial"/>
          </a:endParaRPr>
        </a:p>
        <a:p>
          <a:pPr algn="l" rtl="0">
            <a:defRPr sz="1000"/>
          </a:pPr>
          <a:endParaRPr lang="en-US" sz="800" b="0" i="0" u="none" strike="noStrike" baseline="0">
            <a:solidFill>
              <a:srgbClr val="000000"/>
            </a:solidFill>
            <a:latin typeface="Arial"/>
            <a:cs typeface="Arial"/>
          </a:endParaRPr>
        </a:p>
        <a:p>
          <a:pPr algn="l" rtl="0">
            <a:defRPr sz="1000"/>
          </a:pPr>
          <a:endParaRPr lang="en-US" sz="800" b="0" i="0" u="none" strike="noStrike" baseline="0">
            <a:solidFill>
              <a:srgbClr val="000000"/>
            </a:solidFill>
            <a:latin typeface="Arial"/>
            <a:cs typeface="Arial"/>
          </a:endParaRPr>
        </a:p>
      </xdr:txBody>
    </xdr:sp>
    <xdr:clientData/>
  </xdr:twoCellAnchor>
  <xdr:twoCellAnchor>
    <xdr:from>
      <xdr:col>0</xdr:col>
      <xdr:colOff>85725</xdr:colOff>
      <xdr:row>39</xdr:row>
      <xdr:rowOff>0</xdr:rowOff>
    </xdr:from>
    <xdr:to>
      <xdr:col>7</xdr:col>
      <xdr:colOff>276225</xdr:colOff>
      <xdr:row>39</xdr:row>
      <xdr:rowOff>0</xdr:rowOff>
    </xdr:to>
    <xdr:sp macro="" textlink="">
      <xdr:nvSpPr>
        <xdr:cNvPr id="3" name="Text Box 2"/>
        <xdr:cNvSpPr txBox="1">
          <a:spLocks noChangeArrowheads="1"/>
        </xdr:cNvSpPr>
      </xdr:nvSpPr>
      <xdr:spPr bwMode="auto">
        <a:xfrm>
          <a:off x="85725" y="8582025"/>
          <a:ext cx="7143750" cy="0"/>
        </a:xfrm>
        <a:prstGeom prst="rect">
          <a:avLst/>
        </a:prstGeom>
        <a:noFill/>
        <a:ln w="9525">
          <a:noFill/>
          <a:miter lim="800000"/>
          <a:headEnd/>
          <a:tailEnd/>
        </a:ln>
      </xdr:spPr>
      <xdr:txBody>
        <a:bodyPr vertOverflow="clip" wrap="square" lIns="27432" tIns="22860" rIns="0" bIns="0" anchor="t" upright="1"/>
        <a:lstStyle/>
        <a:p>
          <a:pPr algn="l" rtl="0">
            <a:defRPr sz="1000"/>
          </a:pPr>
          <a:r>
            <a:rPr lang="en-US" sz="800" b="0" i="0" u="none" strike="noStrike" baseline="0">
              <a:solidFill>
                <a:srgbClr val="000000"/>
              </a:solidFill>
              <a:latin typeface="Arial"/>
              <a:cs typeface="Arial"/>
            </a:rPr>
            <a:t>• Obtain the list of auditor’s adjustments regarding revenue (if any).</a:t>
          </a:r>
        </a:p>
        <a:p>
          <a:pPr algn="l" rtl="0">
            <a:defRPr sz="1000"/>
          </a:pPr>
          <a:r>
            <a:rPr lang="en-US" sz="800" b="0" i="0" u="none" strike="noStrike" baseline="0">
              <a:solidFill>
                <a:srgbClr val="000000"/>
              </a:solidFill>
              <a:latin typeface="Arial"/>
              <a:cs typeface="Arial"/>
            </a:rPr>
            <a:t>• Reconciliation between revenue in P/L with accumulated revenue declared in monthly declaration.</a:t>
          </a:r>
        </a:p>
        <a:p>
          <a:pPr algn="l" rtl="0">
            <a:defRPr sz="1000"/>
          </a:pPr>
          <a:r>
            <a:rPr lang="en-US" sz="800" b="0" i="0" u="none" strike="noStrike" baseline="0">
              <a:solidFill>
                <a:srgbClr val="000000"/>
              </a:solidFill>
              <a:latin typeface="Arial"/>
              <a:cs typeface="Arial"/>
            </a:rPr>
            <a:t>• Points to consider:</a:t>
          </a:r>
        </a:p>
        <a:p>
          <a:pPr algn="l" rtl="0">
            <a:defRPr sz="1000"/>
          </a:pPr>
          <a:r>
            <a:rPr lang="en-US" sz="800" b="0" i="0" u="none" strike="noStrike" baseline="0">
              <a:solidFill>
                <a:srgbClr val="000000"/>
              </a:solidFill>
              <a:latin typeface="Arial"/>
              <a:cs typeface="Arial"/>
            </a:rPr>
            <a:t>- Sales recognition: Does the Company recognise its sales in accordance with the current CIT regulations? If not, an appropriate adjustment is required.</a:t>
          </a:r>
        </a:p>
        <a:p>
          <a:pPr algn="l" rtl="0">
            <a:defRPr sz="1000"/>
          </a:pPr>
          <a:r>
            <a:rPr lang="en-US" sz="800" b="0" i="0" u="none" strike="noStrike" baseline="0">
              <a:solidFill>
                <a:srgbClr val="000000"/>
              </a:solidFill>
              <a:latin typeface="Arial"/>
              <a:cs typeface="Arial"/>
            </a:rPr>
            <a:t>- Sales offset: Does the Company directly offset its Receivables against its Payables without recording to its revenue in the P/L accounts? If yes, an appropriate adjustment is required.</a:t>
          </a:r>
        </a:p>
        <a:p>
          <a:pPr algn="l" rtl="0">
            <a:defRPr sz="1000"/>
          </a:pPr>
          <a:r>
            <a:rPr lang="en-US" sz="800" b="0" i="0" u="none" strike="noStrike" baseline="0">
              <a:solidFill>
                <a:srgbClr val="000000"/>
              </a:solidFill>
              <a:latin typeface="Arial"/>
              <a:cs typeface="Arial"/>
            </a:rPr>
            <a:t>- Sales reduction: Does the Company maintain appropriate supporting documents for its sales discounts, sales allowance, and/or goods returned? If not, an appropriate adjustment is required.</a:t>
          </a:r>
        </a:p>
        <a:p>
          <a:pPr algn="l" rtl="0">
            <a:defRPr sz="1000"/>
          </a:pPr>
          <a:r>
            <a:rPr lang="en-US" sz="800" b="0" i="0" u="none" strike="noStrike" baseline="0">
              <a:solidFill>
                <a:srgbClr val="000000"/>
              </a:solidFill>
              <a:latin typeface="Arial"/>
              <a:cs typeface="Arial"/>
            </a:rPr>
            <a:t>- Other sales activities: Does the Company record have internal consumption or give gifts/presents to its employees and/or other third party, or sell goods and/or services on a deferred payment basis? Is the Company's sales recognised in accordance with the CIT regulations?  If not, an appropriate adjustment is required.</a:t>
          </a:r>
        </a:p>
      </xdr:txBody>
    </xdr:sp>
    <xdr:clientData/>
  </xdr:twoCellAnchor>
  <xdr:twoCellAnchor>
    <xdr:from>
      <xdr:col>1</xdr:col>
      <xdr:colOff>28575</xdr:colOff>
      <xdr:row>8</xdr:row>
      <xdr:rowOff>9525</xdr:rowOff>
    </xdr:from>
    <xdr:to>
      <xdr:col>8</xdr:col>
      <xdr:colOff>371475</xdr:colOff>
      <xdr:row>13</xdr:row>
      <xdr:rowOff>0</xdr:rowOff>
    </xdr:to>
    <xdr:sp macro="" textlink="">
      <xdr:nvSpPr>
        <xdr:cNvPr id="4" name="Round Diagonal Corner Rectangle 3"/>
        <xdr:cNvSpPr/>
      </xdr:nvSpPr>
      <xdr:spPr>
        <a:xfrm>
          <a:off x="276225" y="1619250"/>
          <a:ext cx="7772400" cy="990600"/>
        </a:xfrm>
        <a:prstGeom prst="round2Diag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l"/>
          <a:r>
            <a:rPr lang="en-US" sz="1000">
              <a:latin typeface="Arial" pitchFamily="34" charset="0"/>
              <a:cs typeface="Arial" pitchFamily="34" charset="0"/>
            </a:rPr>
            <a:t>Expenses</a:t>
          </a:r>
          <a:r>
            <a:rPr lang="en-US" sz="1000" baseline="0">
              <a:latin typeface="Arial" pitchFamily="34" charset="0"/>
              <a:cs typeface="Arial" pitchFamily="34" charset="0"/>
            </a:rPr>
            <a:t> which are not supported by legitimate invoices (VAT invoices with proper name and information) and relevant supporting documents  (e.g. purchase contracts, agreement etc.) will not be deductible for CIT purposes.</a:t>
          </a:r>
        </a:p>
        <a:p>
          <a:pPr algn="l"/>
          <a:endParaRPr lang="en-US" sz="1000" baseline="0">
            <a:solidFill>
              <a:schemeClr val="lt1"/>
            </a:solidFill>
            <a:latin typeface="Arial" pitchFamily="34" charset="0"/>
            <a:ea typeface="+mn-ea"/>
            <a:cs typeface="Arial" pitchFamily="34" charset="0"/>
          </a:endParaRPr>
        </a:p>
        <a:p>
          <a:pPr algn="l"/>
          <a:r>
            <a:rPr lang="en-US" sz="1000" baseline="0">
              <a:solidFill>
                <a:schemeClr val="lt1"/>
              </a:solidFill>
              <a:latin typeface="Arial" pitchFamily="34" charset="0"/>
              <a:ea typeface="+mn-ea"/>
              <a:cs typeface="Arial" pitchFamily="34" charset="0"/>
            </a:rPr>
            <a:t>Please refer to Circular 153/2010/TT-BTC dated 28 September 2010 issued by MOF, providing guidance on printing, issuance, use and management of invoices for  detailed information on criteria of illegitimate invoices</a:t>
          </a:r>
        </a:p>
        <a:p>
          <a:pPr algn="l"/>
          <a:endParaRPr lang="en-US" sz="1000" baseline="0">
            <a:solidFill>
              <a:schemeClr val="lt1"/>
            </a:solidFill>
            <a:latin typeface="Arial" pitchFamily="34" charset="0"/>
            <a:ea typeface="+mn-ea"/>
            <a:cs typeface="Arial"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219075</xdr:colOff>
      <xdr:row>8</xdr:row>
      <xdr:rowOff>9526</xdr:rowOff>
    </xdr:from>
    <xdr:to>
      <xdr:col>7</xdr:col>
      <xdr:colOff>409575</xdr:colOff>
      <xdr:row>15</xdr:row>
      <xdr:rowOff>47626</xdr:rowOff>
    </xdr:to>
    <xdr:sp macro="" textlink="">
      <xdr:nvSpPr>
        <xdr:cNvPr id="2" name="Round Diagonal Corner Rectangle 1"/>
        <xdr:cNvSpPr/>
      </xdr:nvSpPr>
      <xdr:spPr>
        <a:xfrm>
          <a:off x="219075" y="1609726"/>
          <a:ext cx="6810375" cy="1371600"/>
        </a:xfrm>
        <a:prstGeom prst="round2Diag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l"/>
          <a:r>
            <a:rPr lang="en-US" sz="1000">
              <a:latin typeface="Arial" pitchFamily="34" charset="0"/>
              <a:cs typeface="Arial" pitchFamily="34" charset="0"/>
            </a:rPr>
            <a:t>Penalties and fines imposed on violation</a:t>
          </a:r>
          <a:r>
            <a:rPr lang="en-US" sz="1000" baseline="0">
              <a:latin typeface="Arial" pitchFamily="34" charset="0"/>
              <a:cs typeface="Arial" pitchFamily="34" charset="0"/>
            </a:rPr>
            <a:t> of law </a:t>
          </a:r>
          <a:r>
            <a:rPr lang="en-US" sz="1000">
              <a:latin typeface="Arial" pitchFamily="34" charset="0"/>
              <a:cs typeface="Arial" pitchFamily="34" charset="0"/>
            </a:rPr>
            <a:t>will not be deductible</a:t>
          </a:r>
          <a:r>
            <a:rPr lang="en-US" sz="1000" baseline="0">
              <a:latin typeface="Arial" pitchFamily="34" charset="0"/>
              <a:cs typeface="Arial" pitchFamily="34" charset="0"/>
            </a:rPr>
            <a:t> for CIT purpose.  Acts of administrative violation amongst other thing include:</a:t>
          </a:r>
        </a:p>
        <a:p>
          <a:pPr algn="l"/>
          <a:r>
            <a:rPr lang="en-US" sz="1000" baseline="0">
              <a:latin typeface="Arial" pitchFamily="34" charset="0"/>
              <a:cs typeface="Arial" pitchFamily="34" charset="0"/>
            </a:rPr>
            <a:t>   </a:t>
          </a:r>
          <a:r>
            <a:rPr lang="en-US" sz="1000">
              <a:latin typeface="Arial" pitchFamily="34" charset="0"/>
              <a:cs typeface="Arial" pitchFamily="34" charset="0"/>
            </a:rPr>
            <a:t>- Traffic violation;</a:t>
          </a:r>
          <a:r>
            <a:rPr lang="en-US" sz="1000" baseline="0">
              <a:latin typeface="Arial" pitchFamily="34" charset="0"/>
              <a:cs typeface="Arial" pitchFamily="34" charset="0"/>
            </a:rPr>
            <a:t> </a:t>
          </a:r>
        </a:p>
        <a:p>
          <a:pPr algn="l"/>
          <a:r>
            <a:rPr lang="en-US" sz="1000">
              <a:latin typeface="Arial" pitchFamily="34" charset="0"/>
              <a:cs typeface="Arial" pitchFamily="34" charset="0"/>
            </a:rPr>
            <a:t>   - Violation in business registration;</a:t>
          </a:r>
        </a:p>
        <a:p>
          <a:pPr algn="l"/>
          <a:r>
            <a:rPr lang="en-US" sz="1000" baseline="0">
              <a:latin typeface="Arial" pitchFamily="34" charset="0"/>
              <a:cs typeface="Arial" pitchFamily="34" charset="0"/>
            </a:rPr>
            <a:t>   - V</a:t>
          </a:r>
          <a:r>
            <a:rPr lang="en-US" sz="1000">
              <a:latin typeface="Arial" pitchFamily="34" charset="0"/>
              <a:cs typeface="Arial" pitchFamily="34" charset="0"/>
            </a:rPr>
            <a:t>iolation in accounting and statistics regime;</a:t>
          </a:r>
        </a:p>
        <a:p>
          <a:pPr algn="l"/>
          <a:r>
            <a:rPr lang="en-US" sz="1000" baseline="0">
              <a:latin typeface="Arial" pitchFamily="34" charset="0"/>
              <a:cs typeface="Arial" pitchFamily="34" charset="0"/>
            </a:rPr>
            <a:t>   - T</a:t>
          </a:r>
          <a:r>
            <a:rPr lang="en-US" sz="1000">
              <a:latin typeface="Arial" pitchFamily="34" charset="0"/>
              <a:cs typeface="Arial" pitchFamily="34" charset="0"/>
            </a:rPr>
            <a:t>ax violation; and</a:t>
          </a:r>
        </a:p>
        <a:p>
          <a:pPr algn="l"/>
          <a:r>
            <a:rPr lang="en-US" sz="1000" baseline="0">
              <a:latin typeface="Arial" pitchFamily="34" charset="0"/>
              <a:cs typeface="Arial" pitchFamily="34" charset="0"/>
            </a:rPr>
            <a:t>   - O</a:t>
          </a:r>
          <a:r>
            <a:rPr lang="en-US" sz="1000">
              <a:latin typeface="Arial" pitchFamily="34" charset="0"/>
              <a:cs typeface="Arial" pitchFamily="34" charset="0"/>
            </a:rPr>
            <a:t>ther administration penalties.</a:t>
          </a:r>
        </a:p>
        <a:p>
          <a:pPr algn="l"/>
          <a:endParaRPr lang="en-US" sz="1000">
            <a:latin typeface="Arial" pitchFamily="34" charset="0"/>
            <a:cs typeface="Arial"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95250</xdr:colOff>
      <xdr:row>52</xdr:row>
      <xdr:rowOff>0</xdr:rowOff>
    </xdr:from>
    <xdr:to>
      <xdr:col>9</xdr:col>
      <xdr:colOff>285750</xdr:colOff>
      <xdr:row>52</xdr:row>
      <xdr:rowOff>0</xdr:rowOff>
    </xdr:to>
    <xdr:sp macro="" textlink="">
      <xdr:nvSpPr>
        <xdr:cNvPr id="2" name="Text Box 1"/>
        <xdr:cNvSpPr txBox="1">
          <a:spLocks noChangeArrowheads="1"/>
        </xdr:cNvSpPr>
      </xdr:nvSpPr>
      <xdr:spPr bwMode="auto">
        <a:xfrm>
          <a:off x="95250" y="9839325"/>
          <a:ext cx="9124950" cy="0"/>
        </a:xfrm>
        <a:prstGeom prst="rect">
          <a:avLst/>
        </a:prstGeom>
        <a:noFill/>
        <a:ln w="9525">
          <a:noFill/>
          <a:miter lim="800000"/>
          <a:headEnd/>
          <a:tailEnd/>
        </a:ln>
      </xdr:spPr>
      <xdr:txBody>
        <a:bodyPr vertOverflow="clip" wrap="square" lIns="27432" tIns="22860" rIns="0" bIns="0" anchor="t" upright="1"/>
        <a:lstStyle/>
        <a:p>
          <a:pPr algn="l" rtl="0">
            <a:defRPr sz="1000"/>
          </a:pPr>
          <a:r>
            <a:rPr lang="en-US" sz="800" b="0" i="0" u="none" strike="noStrike" baseline="0">
              <a:solidFill>
                <a:srgbClr val="000000"/>
              </a:solidFill>
              <a:latin typeface="Arial"/>
              <a:cs typeface="Arial"/>
            </a:rPr>
            <a:t>• Interview and check whether the Company has recorded expenses which are not relevant and attributable to its registered business activities.  If yes, an appropriate adjustment is required for CIT purposes.</a:t>
          </a:r>
        </a:p>
        <a:p>
          <a:pPr algn="l" rtl="0">
            <a:defRPr sz="1000"/>
          </a:pPr>
          <a:r>
            <a:rPr lang="en-US" sz="800" b="0" i="0" u="none" strike="noStrike" baseline="0">
              <a:solidFill>
                <a:srgbClr val="000000"/>
              </a:solidFill>
              <a:latin typeface="Arial"/>
              <a:cs typeface="Arial"/>
            </a:rPr>
            <a:t>• For guidance purposes, non-business expenses include but not limited to expenses which are relevant to the Company's non-registered business activities, staff benefit (e.g. wedding, funeral, birthday, year-end party, gifts, etc.), golf membership fees, expense related to expatriate's family members, donation expenses (except for education, health care, natural disaster, poor people).</a:t>
          </a:r>
        </a:p>
        <a:p>
          <a:pPr algn="l" rtl="0">
            <a:defRPr sz="1000"/>
          </a:pPr>
          <a:endParaRPr lang="en-US" sz="800" b="0" i="0" u="none" strike="noStrike" baseline="0">
            <a:solidFill>
              <a:srgbClr val="000000"/>
            </a:solidFill>
            <a:latin typeface="Arial"/>
            <a:cs typeface="Arial"/>
          </a:endParaRPr>
        </a:p>
        <a:p>
          <a:pPr algn="l" rtl="0">
            <a:defRPr sz="1000"/>
          </a:pPr>
          <a:endParaRPr lang="en-US" sz="800" b="0" i="0" u="none" strike="noStrike" baseline="0">
            <a:solidFill>
              <a:srgbClr val="000000"/>
            </a:solidFill>
            <a:latin typeface="Arial"/>
            <a:cs typeface="Arial"/>
          </a:endParaRPr>
        </a:p>
        <a:p>
          <a:pPr algn="l" rtl="0">
            <a:defRPr sz="1000"/>
          </a:pPr>
          <a:endParaRPr lang="en-US" sz="800" b="0" i="0" u="none" strike="noStrike" baseline="0">
            <a:solidFill>
              <a:srgbClr val="000000"/>
            </a:solidFill>
            <a:latin typeface="Arial"/>
            <a:cs typeface="Arial"/>
          </a:endParaRPr>
        </a:p>
        <a:p>
          <a:pPr algn="l" rtl="0">
            <a:defRPr sz="1000"/>
          </a:pPr>
          <a:endParaRPr lang="en-US" sz="800" b="0" i="0" u="none" strike="noStrike" baseline="0">
            <a:solidFill>
              <a:srgbClr val="000000"/>
            </a:solidFill>
            <a:latin typeface="Arial"/>
            <a:cs typeface="Arial"/>
          </a:endParaRPr>
        </a:p>
        <a:p>
          <a:pPr algn="l" rtl="0">
            <a:defRPr sz="1000"/>
          </a:pPr>
          <a:endParaRPr lang="en-US" sz="800" b="0" i="0" u="none" strike="noStrike" baseline="0">
            <a:solidFill>
              <a:srgbClr val="000000"/>
            </a:solidFill>
            <a:latin typeface="Arial"/>
            <a:cs typeface="Arial"/>
          </a:endParaRPr>
        </a:p>
        <a:p>
          <a:pPr algn="l" rtl="0">
            <a:defRPr sz="1000"/>
          </a:pPr>
          <a:endParaRPr lang="en-US" sz="800" b="0" i="0" u="none" strike="noStrike" baseline="0">
            <a:solidFill>
              <a:srgbClr val="000000"/>
            </a:solidFill>
            <a:latin typeface="Arial"/>
            <a:cs typeface="Arial"/>
          </a:endParaRPr>
        </a:p>
      </xdr:txBody>
    </xdr:sp>
    <xdr:clientData/>
  </xdr:twoCellAnchor>
  <xdr:twoCellAnchor>
    <xdr:from>
      <xdr:col>0</xdr:col>
      <xdr:colOff>85725</xdr:colOff>
      <xdr:row>52</xdr:row>
      <xdr:rowOff>0</xdr:rowOff>
    </xdr:from>
    <xdr:to>
      <xdr:col>9</xdr:col>
      <xdr:colOff>276225</xdr:colOff>
      <xdr:row>52</xdr:row>
      <xdr:rowOff>0</xdr:rowOff>
    </xdr:to>
    <xdr:sp macro="" textlink="">
      <xdr:nvSpPr>
        <xdr:cNvPr id="3" name="Text Box 2"/>
        <xdr:cNvSpPr txBox="1">
          <a:spLocks noChangeArrowheads="1"/>
        </xdr:cNvSpPr>
      </xdr:nvSpPr>
      <xdr:spPr bwMode="auto">
        <a:xfrm>
          <a:off x="85725" y="9839325"/>
          <a:ext cx="9124950" cy="0"/>
        </a:xfrm>
        <a:prstGeom prst="rect">
          <a:avLst/>
        </a:prstGeom>
        <a:noFill/>
        <a:ln w="9525">
          <a:noFill/>
          <a:miter lim="800000"/>
          <a:headEnd/>
          <a:tailEnd/>
        </a:ln>
      </xdr:spPr>
      <xdr:txBody>
        <a:bodyPr vertOverflow="clip" wrap="square" lIns="27432" tIns="22860" rIns="0" bIns="0" anchor="t" upright="1"/>
        <a:lstStyle/>
        <a:p>
          <a:pPr algn="l" rtl="0">
            <a:defRPr sz="1000"/>
          </a:pPr>
          <a:r>
            <a:rPr lang="en-US" sz="800" b="0" i="0" u="none" strike="noStrike" baseline="0">
              <a:solidFill>
                <a:srgbClr val="000000"/>
              </a:solidFill>
              <a:latin typeface="Arial"/>
              <a:cs typeface="Arial"/>
            </a:rPr>
            <a:t>• Obtain the list of auditor’s adjustments regarding revenue (if any).</a:t>
          </a:r>
        </a:p>
        <a:p>
          <a:pPr algn="l" rtl="0">
            <a:defRPr sz="1000"/>
          </a:pPr>
          <a:r>
            <a:rPr lang="en-US" sz="800" b="0" i="0" u="none" strike="noStrike" baseline="0">
              <a:solidFill>
                <a:srgbClr val="000000"/>
              </a:solidFill>
              <a:latin typeface="Arial"/>
              <a:cs typeface="Arial"/>
            </a:rPr>
            <a:t>• Reconciliation between revenue in P/L with accumulated revenue declared in monthly declaration.</a:t>
          </a:r>
        </a:p>
        <a:p>
          <a:pPr algn="l" rtl="0">
            <a:defRPr sz="1000"/>
          </a:pPr>
          <a:r>
            <a:rPr lang="en-US" sz="800" b="0" i="0" u="none" strike="noStrike" baseline="0">
              <a:solidFill>
                <a:srgbClr val="000000"/>
              </a:solidFill>
              <a:latin typeface="Arial"/>
              <a:cs typeface="Arial"/>
            </a:rPr>
            <a:t>• Points to consider:</a:t>
          </a:r>
        </a:p>
        <a:p>
          <a:pPr algn="l" rtl="0">
            <a:defRPr sz="1000"/>
          </a:pPr>
          <a:r>
            <a:rPr lang="en-US" sz="800" b="0" i="0" u="none" strike="noStrike" baseline="0">
              <a:solidFill>
                <a:srgbClr val="000000"/>
              </a:solidFill>
              <a:latin typeface="Arial"/>
              <a:cs typeface="Arial"/>
            </a:rPr>
            <a:t>- Sales recognition: Does the Company recognise its sales in accordance with the current CIT regulations? If not, an appropriate adjustment is required.</a:t>
          </a:r>
        </a:p>
        <a:p>
          <a:pPr algn="l" rtl="0">
            <a:defRPr sz="1000"/>
          </a:pPr>
          <a:r>
            <a:rPr lang="en-US" sz="800" b="0" i="0" u="none" strike="noStrike" baseline="0">
              <a:solidFill>
                <a:srgbClr val="000000"/>
              </a:solidFill>
              <a:latin typeface="Arial"/>
              <a:cs typeface="Arial"/>
            </a:rPr>
            <a:t>- Sales offset: Does the Company directly offset its Receivables against its Payables without recording to its revenue in the P/L accounts? If yes, an appropriate adjustment is required.</a:t>
          </a:r>
        </a:p>
        <a:p>
          <a:pPr algn="l" rtl="0">
            <a:defRPr sz="1000"/>
          </a:pPr>
          <a:r>
            <a:rPr lang="en-US" sz="800" b="0" i="0" u="none" strike="noStrike" baseline="0">
              <a:solidFill>
                <a:srgbClr val="000000"/>
              </a:solidFill>
              <a:latin typeface="Arial"/>
              <a:cs typeface="Arial"/>
            </a:rPr>
            <a:t>- Sales reduction: Does the Company maintain appropriate supporting documents for its sales discounts, sales allowance, and/or goods returned? If not, an appropriate adjustment is required.</a:t>
          </a:r>
        </a:p>
        <a:p>
          <a:pPr algn="l" rtl="0">
            <a:defRPr sz="1000"/>
          </a:pPr>
          <a:r>
            <a:rPr lang="en-US" sz="800" b="0" i="0" u="none" strike="noStrike" baseline="0">
              <a:solidFill>
                <a:srgbClr val="000000"/>
              </a:solidFill>
              <a:latin typeface="Arial"/>
              <a:cs typeface="Arial"/>
            </a:rPr>
            <a:t>- Other sales activities: Does the Company record have internal consumption or give gifts/presents to its employees and/or other third party, or sell goods and/or services on a deferred payment basis? Is the Company's sales recognised in accordance with the CIT regulations?  If not, an appropriate adjustment is required.</a:t>
          </a:r>
        </a:p>
      </xdr:txBody>
    </xdr:sp>
    <xdr:clientData/>
  </xdr:twoCellAnchor>
  <xdr:twoCellAnchor>
    <xdr:from>
      <xdr:col>0</xdr:col>
      <xdr:colOff>266700</xdr:colOff>
      <xdr:row>7</xdr:row>
      <xdr:rowOff>190499</xdr:rowOff>
    </xdr:from>
    <xdr:to>
      <xdr:col>7</xdr:col>
      <xdr:colOff>495300</xdr:colOff>
      <xdr:row>23</xdr:row>
      <xdr:rowOff>0</xdr:rowOff>
    </xdr:to>
    <xdr:sp macro="" textlink="">
      <xdr:nvSpPr>
        <xdr:cNvPr id="4" name="Round Diagonal Corner Rectangle 3"/>
        <xdr:cNvSpPr/>
      </xdr:nvSpPr>
      <xdr:spPr>
        <a:xfrm>
          <a:off x="266700" y="1628774"/>
          <a:ext cx="7667625" cy="2857501"/>
        </a:xfrm>
        <a:prstGeom prst="round2Diag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r>
            <a:rPr lang="en-US" sz="1000" baseline="0">
              <a:solidFill>
                <a:schemeClr val="lt1"/>
              </a:solidFill>
              <a:latin typeface="Arial" pitchFamily="34" charset="0"/>
              <a:ea typeface="+mn-ea"/>
              <a:cs typeface="Arial" pitchFamily="34" charset="0"/>
            </a:rPr>
            <a:t>Expenses which are not relevant to the Client's registered business activities will not be deductible for CIT purposes.</a:t>
          </a:r>
        </a:p>
        <a:p>
          <a:pPr algn="l"/>
          <a:endParaRPr lang="en-US" sz="1000" baseline="0">
            <a:solidFill>
              <a:schemeClr val="lt1"/>
            </a:solidFill>
            <a:latin typeface="Arial" pitchFamily="34" charset="0"/>
            <a:ea typeface="+mn-ea"/>
            <a:cs typeface="Arial" pitchFamily="34" charset="0"/>
          </a:endParaRPr>
        </a:p>
        <a:p>
          <a:pPr algn="l"/>
          <a:r>
            <a:rPr lang="en-US" sz="1000" baseline="0">
              <a:solidFill>
                <a:schemeClr val="lt1"/>
              </a:solidFill>
              <a:latin typeface="Arial" pitchFamily="34" charset="0"/>
              <a:ea typeface="+mn-ea"/>
              <a:cs typeface="Arial" pitchFamily="34" charset="0"/>
            </a:rPr>
            <a:t>Non-business expenses amongst other things include:</a:t>
          </a:r>
        </a:p>
        <a:p>
          <a:pPr algn="l"/>
          <a:endParaRPr lang="en-US" sz="1000" baseline="0">
            <a:solidFill>
              <a:schemeClr val="lt1"/>
            </a:solidFill>
            <a:latin typeface="Arial" pitchFamily="34" charset="0"/>
            <a:ea typeface="+mn-ea"/>
            <a:cs typeface="Arial" pitchFamily="34" charset="0"/>
          </a:endParaRPr>
        </a:p>
        <a:p>
          <a:pPr algn="l"/>
          <a:r>
            <a:rPr lang="en-US" sz="1000" baseline="0">
              <a:solidFill>
                <a:schemeClr val="lt1"/>
              </a:solidFill>
              <a:latin typeface="Arial" pitchFamily="34" charset="0"/>
              <a:ea typeface="+mn-ea"/>
              <a:cs typeface="Arial" pitchFamily="34" charset="0"/>
            </a:rPr>
            <a:t>-  </a:t>
          </a:r>
          <a:r>
            <a:rPr lang="en-US" sz="1000" b="0" baseline="0">
              <a:solidFill>
                <a:schemeClr val="lt1"/>
              </a:solidFill>
              <a:latin typeface="Arial" pitchFamily="34" charset="0"/>
              <a:ea typeface="+mn-ea"/>
              <a:cs typeface="Arial" pitchFamily="34" charset="0"/>
            </a:rPr>
            <a:t>Staff welfare</a:t>
          </a:r>
          <a:r>
            <a:rPr lang="en-US" sz="1000" baseline="0">
              <a:solidFill>
                <a:schemeClr val="lt1"/>
              </a:solidFill>
              <a:latin typeface="Arial" pitchFamily="34" charset="0"/>
              <a:ea typeface="+mn-ea"/>
              <a:cs typeface="Arial" pitchFamily="34" charset="0"/>
            </a:rPr>
            <a:t>: company trips, company parties, golf membership, entertainment fees, etc.  Note, </a:t>
          </a:r>
          <a:r>
            <a:rPr lang="en-US" sz="1000" baseline="0">
              <a:solidFill>
                <a:srgbClr val="FFC000"/>
              </a:solidFill>
              <a:latin typeface="Arial" pitchFamily="34" charset="0"/>
              <a:ea typeface="+mn-ea"/>
              <a:cs typeface="Arial" pitchFamily="34" charset="0"/>
            </a:rPr>
            <a:t>life insurance for the employees mentioned in the labour contract/collective labour agreement, or BOM decision will be deductible from taxable year of 2012</a:t>
          </a:r>
        </a:p>
        <a:p>
          <a:pPr algn="l"/>
          <a:endParaRPr lang="en-US" sz="1000" baseline="0">
            <a:solidFill>
              <a:schemeClr val="lt1"/>
            </a:solidFill>
            <a:latin typeface="Arial" pitchFamily="34" charset="0"/>
            <a:ea typeface="+mn-ea"/>
            <a:cs typeface="Arial" pitchFamily="34" charset="0"/>
          </a:endParaRPr>
        </a:p>
        <a:p>
          <a:pPr algn="l"/>
          <a:r>
            <a:rPr lang="en-US" sz="1000" baseline="0">
              <a:solidFill>
                <a:schemeClr val="lt1"/>
              </a:solidFill>
              <a:latin typeface="Arial" pitchFamily="34" charset="0"/>
              <a:ea typeface="+mn-ea"/>
              <a:cs typeface="Arial" pitchFamily="34" charset="0"/>
            </a:rPr>
            <a:t>-  Benefits provided to staff's dependants (e.g. airfares, insurances, etc.);</a:t>
          </a:r>
        </a:p>
        <a:p>
          <a:pPr algn="l"/>
          <a:endParaRPr lang="en-US" sz="1000" baseline="0">
            <a:solidFill>
              <a:schemeClr val="lt1"/>
            </a:solidFill>
            <a:latin typeface="Arial" pitchFamily="34" charset="0"/>
            <a:ea typeface="+mn-ea"/>
            <a:cs typeface="Arial" pitchFamily="34" charset="0"/>
          </a:endParaRPr>
        </a:p>
        <a:p>
          <a:pPr algn="l"/>
          <a:r>
            <a:rPr lang="en-US" sz="1000" baseline="0">
              <a:solidFill>
                <a:schemeClr val="lt1"/>
              </a:solidFill>
              <a:latin typeface="Arial" pitchFamily="34" charset="0"/>
              <a:ea typeface="+mn-ea"/>
              <a:cs typeface="Arial" pitchFamily="34" charset="0"/>
            </a:rPr>
            <a:t>-  Gifts and/or supports to customers except for business promotion purposes and in accordance with the current regulations on advertising and promotion, gifts for State officials;</a:t>
          </a:r>
        </a:p>
        <a:p>
          <a:pPr algn="l"/>
          <a:endParaRPr lang="en-US" sz="1000" baseline="0">
            <a:solidFill>
              <a:schemeClr val="lt1"/>
            </a:solidFill>
            <a:latin typeface="Arial" pitchFamily="34" charset="0"/>
            <a:ea typeface="+mn-ea"/>
            <a:cs typeface="Arial" pitchFamily="34" charset="0"/>
          </a:endParaRPr>
        </a:p>
        <a:p>
          <a:pPr algn="l"/>
          <a:r>
            <a:rPr lang="en-US" sz="1000" baseline="0">
              <a:solidFill>
                <a:schemeClr val="lt1"/>
              </a:solidFill>
              <a:latin typeface="Arial" pitchFamily="34" charset="0"/>
              <a:ea typeface="+mn-ea"/>
              <a:cs typeface="Arial" pitchFamily="34" charset="0"/>
            </a:rPr>
            <a:t>-  </a:t>
          </a:r>
          <a:r>
            <a:rPr lang="en-US" sz="1000" baseline="0">
              <a:latin typeface="Arial" pitchFamily="34" charset="0"/>
              <a:cs typeface="Arial" pitchFamily="34" charset="0"/>
            </a:rPr>
            <a:t>Donations and sponsoring expenses, except for donations for education, medical and  health care, natural disaster relief </a:t>
          </a:r>
          <a:r>
            <a:rPr lang="en-US" sz="1000" baseline="0">
              <a:solidFill>
                <a:srgbClr val="FFC000"/>
              </a:solidFill>
              <a:latin typeface="Arial" pitchFamily="34" charset="0"/>
              <a:cs typeface="Arial" pitchFamily="34" charset="0"/>
            </a:rPr>
            <a:t>having proper forms certifying such donations as stipulated under Points 2.21, 2.22, 2.23 and 2.24 Aritcle 2 of Circular 123.</a:t>
          </a:r>
        </a:p>
        <a:p>
          <a:pPr algn="l"/>
          <a:endParaRPr lang="en-US" sz="1000" baseline="0">
            <a:latin typeface="Arial" pitchFamily="34" charset="0"/>
            <a:cs typeface="Arial" pitchFamily="34" charset="0"/>
          </a:endParaRPr>
        </a:p>
        <a:p>
          <a:pPr algn="l"/>
          <a:r>
            <a:rPr lang="en-US" sz="1000" baseline="0">
              <a:latin typeface="Arial" pitchFamily="34" charset="0"/>
              <a:cs typeface="Arial" pitchFamily="34" charset="0"/>
            </a:rPr>
            <a:t>-  Land rental incurred for pieces of land which are not used for business purposes.</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85725</xdr:colOff>
      <xdr:row>52</xdr:row>
      <xdr:rowOff>0</xdr:rowOff>
    </xdr:from>
    <xdr:to>
      <xdr:col>7</xdr:col>
      <xdr:colOff>276225</xdr:colOff>
      <xdr:row>52</xdr:row>
      <xdr:rowOff>0</xdr:rowOff>
    </xdr:to>
    <xdr:sp macro="" textlink="">
      <xdr:nvSpPr>
        <xdr:cNvPr id="2" name="Text Box 1"/>
        <xdr:cNvSpPr txBox="1">
          <a:spLocks noChangeArrowheads="1"/>
        </xdr:cNvSpPr>
      </xdr:nvSpPr>
      <xdr:spPr bwMode="auto">
        <a:xfrm>
          <a:off x="85725" y="9791700"/>
          <a:ext cx="9163050" cy="0"/>
        </a:xfrm>
        <a:prstGeom prst="rect">
          <a:avLst/>
        </a:prstGeom>
        <a:noFill/>
        <a:ln w="9525">
          <a:noFill/>
          <a:miter lim="800000"/>
          <a:headEnd/>
          <a:tailEnd/>
        </a:ln>
      </xdr:spPr>
      <xdr:txBody>
        <a:bodyPr vertOverflow="clip" wrap="square" lIns="27432" tIns="22860" rIns="0" bIns="0" anchor="t" upright="1"/>
        <a:lstStyle/>
        <a:p>
          <a:pPr algn="l" rtl="0">
            <a:defRPr sz="1000"/>
          </a:pPr>
          <a:r>
            <a:rPr lang="en-US" sz="800" b="0" i="0" u="none" strike="noStrike" baseline="0">
              <a:solidFill>
                <a:srgbClr val="000000"/>
              </a:solidFill>
              <a:latin typeface="Arial"/>
              <a:cs typeface="Arial"/>
            </a:rPr>
            <a:t>• Interview and check whether the Company signs labour contracts with all of its employees.  If not, salary and wage expenses paid to employees with whom the Company does not sign labour contract will be included into this Item for CIT adjustment purposes.  Note that expenses related to expatriates assigned to the Company by its affiliated companies will be deductible only when they are clearly stated in the assignment letters or a written agreement between the Company and its affiliated companies.</a:t>
          </a:r>
        </a:p>
        <a:p>
          <a:pPr algn="l" rtl="0">
            <a:defRPr sz="1000"/>
          </a:pPr>
          <a:r>
            <a:rPr lang="en-US" sz="800" b="0" i="0" u="none" strike="noStrike" baseline="0">
              <a:solidFill>
                <a:srgbClr val="000000"/>
              </a:solidFill>
              <a:latin typeface="Arial"/>
              <a:cs typeface="Arial"/>
            </a:rPr>
            <a:t>• Interview and check whether the Company's employment expenses are incurred and recorded in accordance with the labour contracts and/or the collective labour agreement.  If yes, such expense will be included into this item for CIT adjustment purposes.</a:t>
          </a:r>
        </a:p>
        <a:p>
          <a:pPr algn="l" rtl="0">
            <a:defRPr sz="1000"/>
          </a:pPr>
          <a:r>
            <a:rPr lang="en-US" sz="800" b="0" i="0" u="none" strike="noStrike" baseline="0">
              <a:solidFill>
                <a:srgbClr val="000000"/>
              </a:solidFill>
              <a:latin typeface="Arial"/>
              <a:cs typeface="Arial"/>
            </a:rPr>
            <a:t>• Interview and check whether the Company records employment expenses which have not been incurred and paid during the fiscal year.  If yes, such expense will be included into this item for CIT adjustment purposes.</a:t>
          </a:r>
        </a:p>
        <a:p>
          <a:pPr algn="l" rtl="0">
            <a:defRPr sz="1000"/>
          </a:pPr>
          <a:r>
            <a:rPr lang="en-US" sz="800" b="0" i="0" u="none" strike="noStrike" baseline="0">
              <a:solidFill>
                <a:srgbClr val="000000"/>
              </a:solidFill>
              <a:latin typeface="Arial"/>
              <a:cs typeface="Arial"/>
            </a:rPr>
            <a:t>• Interview and check whether the Company paid non-salary natured bonuses to its employees and/or the related conditions of such entitlement are not clearly stated in the labour contracts or the collective labour agreement.  If yes, such expense will be included into this item for CIT adjustment purposes.</a:t>
          </a:r>
        </a:p>
        <a:p>
          <a:pPr algn="l" rtl="0">
            <a:defRPr sz="1000"/>
          </a:pPr>
          <a:r>
            <a:rPr lang="en-US" sz="800" b="0" i="0" u="none" strike="noStrike" baseline="0">
              <a:solidFill>
                <a:srgbClr val="000000"/>
              </a:solidFill>
              <a:latin typeface="Arial"/>
              <a:cs typeface="Arial"/>
            </a:rPr>
            <a:t>• Interview and check the Company's corporate documents (e.g. investment certificate, charter, articles of association, etc.) to identify its owners, founding members, members of board of management or councils, who are not directly involved into the Company's licensed business activities (i.e. production, trading or provision of services).  Employment related expenses of such people will be included into this item for CIT adjustment purposes.</a:t>
          </a:r>
        </a:p>
        <a:p>
          <a:pPr algn="l" rtl="0">
            <a:defRPr sz="1000"/>
          </a:pPr>
          <a:endParaRPr lang="en-US" sz="800" b="0" i="0" u="none" strike="noStrike" baseline="0">
            <a:solidFill>
              <a:srgbClr val="000000"/>
            </a:solidFill>
            <a:latin typeface="Arial"/>
            <a:cs typeface="Arial"/>
          </a:endParaRPr>
        </a:p>
        <a:p>
          <a:pPr algn="l" rtl="0">
            <a:defRPr sz="1000"/>
          </a:pPr>
          <a:endParaRPr lang="en-US" sz="800" b="0" i="0" u="none" strike="noStrike" baseline="0">
            <a:solidFill>
              <a:srgbClr val="000000"/>
            </a:solidFill>
            <a:latin typeface="Arial"/>
            <a:cs typeface="Arial"/>
          </a:endParaRPr>
        </a:p>
        <a:p>
          <a:pPr algn="l" rtl="0">
            <a:defRPr sz="1000"/>
          </a:pPr>
          <a:endParaRPr lang="en-US" sz="800" b="0" i="0" u="none" strike="noStrike" baseline="0">
            <a:solidFill>
              <a:srgbClr val="000000"/>
            </a:solidFill>
            <a:latin typeface="Arial"/>
            <a:cs typeface="Arial"/>
          </a:endParaRPr>
        </a:p>
        <a:p>
          <a:pPr algn="l" rtl="0">
            <a:defRPr sz="1000"/>
          </a:pPr>
          <a:endParaRPr lang="en-US" sz="800" b="0" i="0" u="none" strike="noStrike" baseline="0">
            <a:solidFill>
              <a:srgbClr val="000000"/>
            </a:solidFill>
            <a:latin typeface="Arial"/>
            <a:cs typeface="Arial"/>
          </a:endParaRPr>
        </a:p>
        <a:p>
          <a:pPr algn="l" rtl="0">
            <a:defRPr sz="1000"/>
          </a:pPr>
          <a:endParaRPr lang="en-US" sz="800" b="0" i="0" u="none" strike="noStrike" baseline="0">
            <a:solidFill>
              <a:srgbClr val="000000"/>
            </a:solidFill>
            <a:latin typeface="Arial"/>
            <a:cs typeface="Arial"/>
          </a:endParaRPr>
        </a:p>
        <a:p>
          <a:pPr algn="l" rtl="0">
            <a:defRPr sz="1000"/>
          </a:pPr>
          <a:endParaRPr lang="en-US" sz="800" b="0" i="0" u="none" strike="noStrike" baseline="0">
            <a:solidFill>
              <a:srgbClr val="000000"/>
            </a:solidFill>
            <a:latin typeface="Arial"/>
            <a:cs typeface="Arial"/>
          </a:endParaRPr>
        </a:p>
        <a:p>
          <a:pPr algn="l" rtl="0">
            <a:defRPr sz="1000"/>
          </a:pPr>
          <a:endParaRPr lang="en-US" sz="800" b="0" i="0" u="none" strike="noStrike" baseline="0">
            <a:solidFill>
              <a:srgbClr val="000000"/>
            </a:solidFill>
            <a:latin typeface="Arial"/>
            <a:cs typeface="Arial"/>
          </a:endParaRPr>
        </a:p>
      </xdr:txBody>
    </xdr:sp>
    <xdr:clientData/>
  </xdr:twoCellAnchor>
  <xdr:twoCellAnchor>
    <xdr:from>
      <xdr:col>0</xdr:col>
      <xdr:colOff>238125</xdr:colOff>
      <xdr:row>8</xdr:row>
      <xdr:rowOff>0</xdr:rowOff>
    </xdr:from>
    <xdr:to>
      <xdr:col>5</xdr:col>
      <xdr:colOff>466724</xdr:colOff>
      <xdr:row>24</xdr:row>
      <xdr:rowOff>0</xdr:rowOff>
    </xdr:to>
    <xdr:sp macro="" textlink="">
      <xdr:nvSpPr>
        <xdr:cNvPr id="3" name="Round Diagonal Corner Rectangle 2"/>
        <xdr:cNvSpPr/>
      </xdr:nvSpPr>
      <xdr:spPr>
        <a:xfrm>
          <a:off x="238125" y="1628775"/>
          <a:ext cx="7696199" cy="3048000"/>
        </a:xfrm>
        <a:prstGeom prst="round2Diag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l">
            <a:lnSpc>
              <a:spcPct val="100000"/>
            </a:lnSpc>
            <a:spcBef>
              <a:spcPts val="0"/>
            </a:spcBef>
            <a:spcAft>
              <a:spcPts val="0"/>
            </a:spcAft>
          </a:pPr>
          <a:r>
            <a:rPr lang="en-US" sz="1000" baseline="0">
              <a:latin typeface="Arial" pitchFamily="34" charset="0"/>
              <a:cs typeface="Arial" pitchFamily="34" charset="0"/>
            </a:rPr>
            <a:t>The following employment related costs will NOT be deductible for CIT purpose:</a:t>
          </a:r>
          <a:endParaRPr lang="en-US" sz="1000">
            <a:latin typeface="Arial" pitchFamily="34" charset="0"/>
            <a:cs typeface="Arial" pitchFamily="34" charset="0"/>
          </a:endParaRPr>
        </a:p>
        <a:p>
          <a:pPr algn="l">
            <a:lnSpc>
              <a:spcPct val="100000"/>
            </a:lnSpc>
            <a:spcBef>
              <a:spcPts val="0"/>
            </a:spcBef>
            <a:spcAft>
              <a:spcPts val="0"/>
            </a:spcAft>
          </a:pPr>
          <a:endParaRPr lang="en-US" sz="1000">
            <a:latin typeface="Arial" pitchFamily="34" charset="0"/>
            <a:cs typeface="Arial" pitchFamily="34" charset="0"/>
          </a:endParaRPr>
        </a:p>
        <a:p>
          <a:pPr algn="l">
            <a:lnSpc>
              <a:spcPct val="100000"/>
            </a:lnSpc>
            <a:spcBef>
              <a:spcPts val="0"/>
            </a:spcBef>
            <a:spcAft>
              <a:spcPts val="0"/>
            </a:spcAft>
          </a:pPr>
          <a:r>
            <a:rPr lang="en-US" sz="1000">
              <a:latin typeface="Calibri"/>
              <a:cs typeface="Calibri"/>
            </a:rPr>
            <a:t>-  S</a:t>
          </a:r>
          <a:r>
            <a:rPr lang="en-US" sz="1000">
              <a:latin typeface="Arial" pitchFamily="34" charset="0"/>
              <a:cs typeface="Arial" pitchFamily="34" charset="0"/>
            </a:rPr>
            <a:t>alaries,</a:t>
          </a:r>
          <a:r>
            <a:rPr lang="en-US" sz="1000" baseline="0">
              <a:latin typeface="Arial" pitchFamily="34" charset="0"/>
              <a:cs typeface="Arial" pitchFamily="34" charset="0"/>
            </a:rPr>
            <a:t> compensations and other employment costs which are not actually paid or not substantiated with legitimate </a:t>
          </a:r>
          <a:r>
            <a:rPr lang="en-US" sz="1000" baseline="0">
              <a:solidFill>
                <a:schemeClr val="bg1"/>
              </a:solidFill>
              <a:latin typeface="Arial" pitchFamily="34" charset="0"/>
              <a:cs typeface="Arial" pitchFamily="34" charset="0"/>
            </a:rPr>
            <a:t>documents (e.g. labour contracts, collective labour agreement, payment receipts, etc.);</a:t>
          </a:r>
        </a:p>
        <a:p>
          <a:pPr marL="0" marR="0" indent="0" algn="l" defTabSz="914400" eaLnBrk="1" fontAlgn="auto" latinLnBrk="0" hangingPunct="1">
            <a:lnSpc>
              <a:spcPct val="100000"/>
            </a:lnSpc>
            <a:spcBef>
              <a:spcPts val="0"/>
            </a:spcBef>
            <a:spcAft>
              <a:spcPts val="0"/>
            </a:spcAft>
            <a:buClrTx/>
            <a:buSzTx/>
            <a:buFontTx/>
            <a:buNone/>
            <a:tabLst/>
            <a:defRPr/>
          </a:pPr>
          <a:r>
            <a:rPr lang="en-US" sz="1000">
              <a:solidFill>
                <a:schemeClr val="bg1"/>
              </a:solidFill>
              <a:latin typeface="Arial" pitchFamily="34" charset="0"/>
              <a:cs typeface="Arial" pitchFamily="34" charset="0"/>
            </a:rPr>
            <a:t>-  Bonuses</a:t>
          </a:r>
          <a:r>
            <a:rPr lang="en-US" sz="1000" baseline="0">
              <a:solidFill>
                <a:schemeClr val="bg1"/>
              </a:solidFill>
              <a:latin typeface="Arial" pitchFamily="34" charset="0"/>
              <a:cs typeface="Arial" pitchFamily="34" charset="0"/>
            </a:rPr>
            <a:t> which the payment conditions and levels are not specified in either labour contracts or collective labour agreements or  internal policies of the Client; or reward regulations issued by the Client.</a:t>
          </a:r>
        </a:p>
        <a:p>
          <a:pPr marL="0" marR="0" indent="0" algn="l" defTabSz="914400" eaLnBrk="1" fontAlgn="auto" latinLnBrk="0" hangingPunct="1">
            <a:lnSpc>
              <a:spcPct val="100000"/>
            </a:lnSpc>
            <a:spcBef>
              <a:spcPts val="0"/>
            </a:spcBef>
            <a:spcAft>
              <a:spcPts val="0"/>
            </a:spcAft>
            <a:buClrTx/>
            <a:buSzTx/>
            <a:buFontTx/>
            <a:buNone/>
            <a:tabLst/>
            <a:defRPr/>
          </a:pPr>
          <a:r>
            <a:rPr lang="en-US" sz="1000" baseline="0">
              <a:solidFill>
                <a:schemeClr val="bg1"/>
              </a:solidFill>
              <a:latin typeface="Arial" pitchFamily="34" charset="0"/>
              <a:cs typeface="Arial" pitchFamily="34" charset="0"/>
            </a:rPr>
            <a:t> - Provision for salary fund exceeds 17% of the realised salary fund</a:t>
          </a:r>
        </a:p>
        <a:p>
          <a:pPr algn="l">
            <a:lnSpc>
              <a:spcPct val="100000"/>
            </a:lnSpc>
            <a:spcBef>
              <a:spcPts val="0"/>
            </a:spcBef>
            <a:spcAft>
              <a:spcPts val="0"/>
            </a:spcAft>
          </a:pPr>
          <a:r>
            <a:rPr lang="en-US" sz="1100" baseline="0">
              <a:solidFill>
                <a:schemeClr val="bg1"/>
              </a:solidFill>
              <a:latin typeface="+mn-lt"/>
              <a:ea typeface="+mn-ea"/>
              <a:cs typeface="+mn-cs"/>
            </a:rPr>
            <a:t> - A</a:t>
          </a:r>
          <a:r>
            <a:rPr lang="en-US" sz="1000" baseline="0">
              <a:solidFill>
                <a:schemeClr val="bg1"/>
              </a:solidFill>
              <a:latin typeface="Arial" pitchFamily="34" charset="0"/>
              <a:ea typeface="+mn-ea"/>
              <a:cs typeface="Arial" pitchFamily="34" charset="0"/>
            </a:rPr>
            <a:t>ccrued salaries, bonuses and other allowances which are not actually paid to employees by the submission deadline of the CIT finalisation return;</a:t>
          </a:r>
        </a:p>
        <a:p>
          <a:pPr algn="l">
            <a:lnSpc>
              <a:spcPct val="100000"/>
            </a:lnSpc>
            <a:spcBef>
              <a:spcPts val="0"/>
            </a:spcBef>
            <a:spcAft>
              <a:spcPts val="0"/>
            </a:spcAft>
          </a:pPr>
          <a:r>
            <a:rPr lang="en-US" sz="1000" baseline="0">
              <a:solidFill>
                <a:schemeClr val="lt1"/>
              </a:solidFill>
              <a:latin typeface="Arial" pitchFamily="34" charset="0"/>
              <a:ea typeface="+mn-ea"/>
              <a:cs typeface="Arial" pitchFamily="34" charset="0"/>
            </a:rPr>
            <a:t>-  Wages and compensation of the owner of a private company or a limited liability company with one member (owned by an individual), compensation paid to founders, the Board of Members, the Board of Management who are not directly involved in daily business operation of the enterprise;</a:t>
          </a:r>
        </a:p>
        <a:p>
          <a:pPr algn="l">
            <a:lnSpc>
              <a:spcPct val="100000"/>
            </a:lnSpc>
            <a:spcBef>
              <a:spcPts val="0"/>
            </a:spcBef>
            <a:spcAft>
              <a:spcPts val="0"/>
            </a:spcAft>
          </a:pPr>
          <a:r>
            <a:rPr lang="en-US" sz="1000" baseline="0">
              <a:solidFill>
                <a:schemeClr val="lt1"/>
              </a:solidFill>
              <a:latin typeface="Arial" pitchFamily="34" charset="0"/>
              <a:ea typeface="+mn-ea"/>
              <a:cs typeface="Arial" pitchFamily="34" charset="0"/>
            </a:rPr>
            <a:t>-  Contribution of compulsory social insurance, health insurance, unemployment insurance, union fee exceeds the statutory contribution levels.</a:t>
          </a:r>
        </a:p>
        <a:p>
          <a:pPr algn="l">
            <a:lnSpc>
              <a:spcPct val="100000"/>
            </a:lnSpc>
            <a:spcBef>
              <a:spcPts val="0"/>
            </a:spcBef>
            <a:spcAft>
              <a:spcPts val="0"/>
            </a:spcAft>
          </a:pPr>
          <a:r>
            <a:rPr lang="en-US" sz="1000" baseline="0">
              <a:latin typeface="Arial" pitchFamily="34" charset="0"/>
              <a:cs typeface="Arial" pitchFamily="34" charset="0"/>
            </a:rPr>
            <a:t> </a:t>
          </a:r>
        </a:p>
        <a:p>
          <a:pPr algn="l">
            <a:lnSpc>
              <a:spcPct val="100000"/>
            </a:lnSpc>
            <a:spcBef>
              <a:spcPts val="0"/>
            </a:spcBef>
            <a:spcAft>
              <a:spcPts val="0"/>
            </a:spcAft>
          </a:pPr>
          <a:r>
            <a:rPr lang="en-US" sz="1000" baseline="0">
              <a:solidFill>
                <a:schemeClr val="bg1"/>
              </a:solidFill>
              <a:latin typeface="Arial" pitchFamily="34" charset="0"/>
              <a:cs typeface="Arial" pitchFamily="34" charset="0"/>
            </a:rPr>
            <a:t>Note: A business entity can claim deduction of expenses in relation to making provision for salary fund for CIT purposes.  However, the provision for salary fund is capped at 17% of the entity's salary fund which is implemented during the year.</a:t>
          </a:r>
          <a:endParaRPr lang="en-US" sz="1000">
            <a:solidFill>
              <a:schemeClr val="bg1"/>
            </a:solidFill>
            <a:latin typeface="Arial" pitchFamily="34" charset="0"/>
            <a:cs typeface="Arial"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38098</xdr:colOff>
      <xdr:row>8</xdr:row>
      <xdr:rowOff>19048</xdr:rowOff>
    </xdr:from>
    <xdr:to>
      <xdr:col>5</xdr:col>
      <xdr:colOff>438150</xdr:colOff>
      <xdr:row>17</xdr:row>
      <xdr:rowOff>171450</xdr:rowOff>
    </xdr:to>
    <xdr:sp macro="" textlink="">
      <xdr:nvSpPr>
        <xdr:cNvPr id="2" name="Round Diagonal Corner Rectangle 1"/>
        <xdr:cNvSpPr/>
      </xdr:nvSpPr>
      <xdr:spPr>
        <a:xfrm>
          <a:off x="285748" y="1647823"/>
          <a:ext cx="7439027" cy="1866902"/>
        </a:xfrm>
        <a:prstGeom prst="round2Diag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l"/>
          <a:r>
            <a:rPr lang="en-US" sz="1000">
              <a:latin typeface="Arial" pitchFamily="34" charset="0"/>
              <a:cs typeface="Arial" pitchFamily="34" charset="0"/>
            </a:rPr>
            <a:t>Accrued expenses will normally not deductible</a:t>
          </a:r>
          <a:r>
            <a:rPr lang="en-US" sz="1000" baseline="0">
              <a:latin typeface="Arial" pitchFamily="34" charset="0"/>
              <a:cs typeface="Arial" pitchFamily="34" charset="0"/>
            </a:rPr>
            <a:t> for CIT purposes as they are not paid and supported by legitimate invoices , except the following accruals:</a:t>
          </a:r>
        </a:p>
        <a:p>
          <a:pPr algn="l"/>
          <a:endParaRPr lang="en-US" sz="1000" baseline="0">
            <a:latin typeface="Arial" pitchFamily="34" charset="0"/>
            <a:cs typeface="Arial" pitchFamily="34" charset="0"/>
          </a:endParaRPr>
        </a:p>
        <a:p>
          <a:pPr algn="l"/>
          <a:r>
            <a:rPr lang="en-US" sz="1000" baseline="0">
              <a:solidFill>
                <a:schemeClr val="lt1"/>
              </a:solidFill>
              <a:latin typeface="Arial" pitchFamily="34" charset="0"/>
              <a:ea typeface="+mn-ea"/>
              <a:cs typeface="Arial" pitchFamily="34" charset="0"/>
            </a:rPr>
            <a:t>-  Accrued salaries, bonuses and allowances which are actually paid to employees before the submission deadline of CIT finalisation return will be deductible for CIT purposes.</a:t>
          </a:r>
        </a:p>
        <a:p>
          <a:pPr algn="l"/>
          <a:endParaRPr lang="en-US" sz="1000" baseline="0">
            <a:solidFill>
              <a:schemeClr val="lt1"/>
            </a:solidFill>
            <a:latin typeface="Arial" pitchFamily="34" charset="0"/>
            <a:ea typeface="+mn-ea"/>
            <a:cs typeface="Arial" pitchFamily="34" charset="0"/>
          </a:endParaRPr>
        </a:p>
        <a:p>
          <a:pPr algn="l"/>
          <a:r>
            <a:rPr lang="en-US" sz="1000" baseline="0">
              <a:solidFill>
                <a:schemeClr val="lt1"/>
              </a:solidFill>
              <a:latin typeface="Arial" pitchFamily="34" charset="0"/>
              <a:ea typeface="+mn-ea"/>
              <a:cs typeface="Arial" pitchFamily="34" charset="0"/>
            </a:rPr>
            <a:t>-  Accruals for repairment of fixed assets which requires periodic repairment in accordance with the Company's annual budget will be deductible for CIT purposes.</a:t>
          </a:r>
        </a:p>
        <a:p>
          <a:pPr algn="l"/>
          <a:endParaRPr lang="en-US" sz="1000" baseline="0">
            <a:solidFill>
              <a:schemeClr val="lt1"/>
            </a:solidFill>
            <a:latin typeface="Arial" pitchFamily="34" charset="0"/>
            <a:ea typeface="+mn-ea"/>
            <a:cs typeface="Arial" pitchFamily="34" charset="0"/>
          </a:endParaRPr>
        </a:p>
        <a:p>
          <a:pPr marL="0" marR="0" indent="0" algn="l" defTabSz="914400" eaLnBrk="1" fontAlgn="auto" latinLnBrk="0" hangingPunct="1">
            <a:lnSpc>
              <a:spcPct val="100000"/>
            </a:lnSpc>
            <a:spcBef>
              <a:spcPts val="0"/>
            </a:spcBef>
            <a:spcAft>
              <a:spcPts val="0"/>
            </a:spcAft>
            <a:buClrTx/>
            <a:buSzTx/>
            <a:buFontTx/>
            <a:buNone/>
            <a:tabLst/>
            <a:defRPr/>
          </a:pPr>
          <a:r>
            <a:rPr lang="en-US" sz="1000" baseline="0">
              <a:solidFill>
                <a:schemeClr val="bg1"/>
              </a:solidFill>
              <a:latin typeface="Arial" pitchFamily="34" charset="0"/>
              <a:ea typeface="+mn-ea"/>
              <a:cs typeface="Arial" pitchFamily="34" charset="0"/>
            </a:rPr>
            <a:t>-  Accrued expenses related to recognised revenue (i.e. matching principle)</a:t>
          </a:r>
          <a:endParaRPr lang="en-US" sz="1000" baseline="0">
            <a:solidFill>
              <a:schemeClr val="bg1"/>
            </a:solidFill>
            <a:latin typeface="Arial" pitchFamily="34" charset="0"/>
            <a:cs typeface="Arial" pitchFamily="34" charset="0"/>
          </a:endParaRPr>
        </a:p>
        <a:p>
          <a:pPr algn="l"/>
          <a:endParaRPr lang="en-US" sz="1000">
            <a:latin typeface="Arial" pitchFamily="34" charset="0"/>
            <a:cs typeface="Arial" pitchFamily="34" charset="0"/>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xdr:col>
      <xdr:colOff>9526</xdr:colOff>
      <xdr:row>7</xdr:row>
      <xdr:rowOff>190499</xdr:rowOff>
    </xdr:from>
    <xdr:to>
      <xdr:col>5</xdr:col>
      <xdr:colOff>361950</xdr:colOff>
      <xdr:row>14</xdr:row>
      <xdr:rowOff>171450</xdr:rowOff>
    </xdr:to>
    <xdr:sp macro="" textlink="">
      <xdr:nvSpPr>
        <xdr:cNvPr id="2" name="Round Diagonal Corner Rectangle 1"/>
        <xdr:cNvSpPr/>
      </xdr:nvSpPr>
      <xdr:spPr>
        <a:xfrm>
          <a:off x="257176" y="1628774"/>
          <a:ext cx="7191374" cy="1314451"/>
        </a:xfrm>
        <a:prstGeom prst="round2Diag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l"/>
          <a:r>
            <a:rPr lang="en-US" sz="1000" baseline="0">
              <a:solidFill>
                <a:schemeClr val="lt1"/>
              </a:solidFill>
              <a:latin typeface="Arial" pitchFamily="34" charset="0"/>
              <a:ea typeface="+mn-ea"/>
              <a:cs typeface="Arial" pitchFamily="34" charset="0"/>
            </a:rPr>
            <a:t>Provisions which are not made in accordance with regulations shall be treated as non deductible expenses, specifically as follows:</a:t>
          </a:r>
        </a:p>
        <a:p>
          <a:pPr algn="l"/>
          <a:r>
            <a:rPr lang="en-US" sz="1000" baseline="0">
              <a:solidFill>
                <a:schemeClr val="lt1"/>
              </a:solidFill>
              <a:latin typeface="Arial" pitchFamily="34" charset="0"/>
              <a:ea typeface="+mn-ea"/>
              <a:cs typeface="Arial" pitchFamily="34" charset="0"/>
            </a:rPr>
            <a:t>-  Provisions for severance allowance made during the year and serverance allowance paid not in accordance with current regulations; and</a:t>
          </a:r>
          <a:endParaRPr lang="en-US" sz="1000" strike="noStrike" baseline="0">
            <a:solidFill>
              <a:schemeClr val="lt1"/>
            </a:solidFill>
            <a:latin typeface="Arial" pitchFamily="34" charset="0"/>
            <a:ea typeface="+mn-ea"/>
            <a:cs typeface="Arial" pitchFamily="34" charset="0"/>
          </a:endParaRPr>
        </a:p>
        <a:p>
          <a:pPr algn="l"/>
          <a:r>
            <a:rPr lang="en-US" sz="1000" baseline="0">
              <a:solidFill>
                <a:schemeClr val="lt1"/>
              </a:solidFill>
              <a:latin typeface="Arial" pitchFamily="34" charset="0"/>
              <a:ea typeface="+mn-ea"/>
              <a:cs typeface="Arial" pitchFamily="34" charset="0"/>
            </a:rPr>
            <a:t>-  Provisions for doubtful debts, obsolete inventory, devaluation of investment, warranty, etc. which are not made in accordance with Circular 228/2009/TT-BTC dated 7 December 2009 ("Circular 228"). </a:t>
          </a:r>
          <a:endParaRPr lang="en-US" sz="1000" baseline="0">
            <a:latin typeface="Arial" pitchFamily="34" charset="0"/>
            <a:cs typeface="Arial" pitchFamily="34" charset="0"/>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19049</xdr:colOff>
      <xdr:row>7</xdr:row>
      <xdr:rowOff>123825</xdr:rowOff>
    </xdr:from>
    <xdr:to>
      <xdr:col>8</xdr:col>
      <xdr:colOff>419100</xdr:colOff>
      <xdr:row>11</xdr:row>
      <xdr:rowOff>123824</xdr:rowOff>
    </xdr:to>
    <xdr:sp macro="" textlink="">
      <xdr:nvSpPr>
        <xdr:cNvPr id="3" name="Round Diagonal Corner Rectangle 2"/>
        <xdr:cNvSpPr/>
      </xdr:nvSpPr>
      <xdr:spPr>
        <a:xfrm>
          <a:off x="266699" y="1533525"/>
          <a:ext cx="7677151" cy="571499"/>
        </a:xfrm>
        <a:prstGeom prst="round2Diag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l"/>
          <a:r>
            <a:rPr lang="en-US" sz="1000" baseline="0">
              <a:solidFill>
                <a:srgbClr val="FFC000"/>
              </a:solidFill>
              <a:latin typeface="Arial" pitchFamily="34" charset="0"/>
              <a:ea typeface="+mn-ea"/>
              <a:cs typeface="Arial" pitchFamily="34" charset="0"/>
            </a:rPr>
            <a:t>For year 2012, provision for severance allowance made during the year and severance allowance paid not in accordance with current regulations shall be treated as non deductible expenses (Circular 180/2012/TT-BTC) (except for enterprises which have less than 10 local employees and not subject to  unemployment insurance regime)</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66674</xdr:colOff>
      <xdr:row>7</xdr:row>
      <xdr:rowOff>200024</xdr:rowOff>
    </xdr:from>
    <xdr:to>
      <xdr:col>5</xdr:col>
      <xdr:colOff>581025</xdr:colOff>
      <xdr:row>23</xdr:row>
      <xdr:rowOff>180975</xdr:rowOff>
    </xdr:to>
    <xdr:sp macro="" textlink="">
      <xdr:nvSpPr>
        <xdr:cNvPr id="2" name="Round Diagonal Corner Rectangle 1"/>
        <xdr:cNvSpPr/>
      </xdr:nvSpPr>
      <xdr:spPr>
        <a:xfrm>
          <a:off x="314324" y="1647824"/>
          <a:ext cx="7915276" cy="3181351"/>
        </a:xfrm>
        <a:prstGeom prst="round2Diag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l"/>
          <a:r>
            <a:rPr lang="en-US" sz="1000" baseline="0">
              <a:solidFill>
                <a:schemeClr val="lt1"/>
              </a:solidFill>
              <a:latin typeface="Arial" pitchFamily="34" charset="0"/>
              <a:ea typeface="+mn-ea"/>
              <a:cs typeface="Arial" pitchFamily="34" charset="0"/>
            </a:rPr>
            <a:t>Provision for obsolete inventory will NOT be deductible for CIT purposes if it is NOT made in accordance with Circular 228.  </a:t>
          </a:r>
        </a:p>
        <a:p>
          <a:pPr algn="l"/>
          <a:endParaRPr lang="en-US" sz="1000" baseline="0">
            <a:solidFill>
              <a:schemeClr val="lt1"/>
            </a:solidFill>
            <a:latin typeface="Arial" pitchFamily="34" charset="0"/>
            <a:ea typeface="+mn-ea"/>
            <a:cs typeface="Arial" pitchFamily="34" charset="0"/>
          </a:endParaRPr>
        </a:p>
        <a:p>
          <a:pPr algn="l"/>
          <a:r>
            <a:rPr lang="en-US" sz="1000" baseline="0">
              <a:solidFill>
                <a:schemeClr val="lt1"/>
              </a:solidFill>
              <a:latin typeface="Arial" pitchFamily="34" charset="0"/>
              <a:ea typeface="+mn-ea"/>
              <a:cs typeface="Arial" pitchFamily="34" charset="0"/>
            </a:rPr>
            <a:t>Under Circular 228, provision for obsolete inventory is stipulated as follows:</a:t>
          </a:r>
        </a:p>
        <a:p>
          <a:pPr algn="l"/>
          <a:r>
            <a:rPr lang="en-US" sz="1000" baseline="0">
              <a:solidFill>
                <a:schemeClr val="lt1"/>
              </a:solidFill>
              <a:latin typeface="Arial" pitchFamily="34" charset="0"/>
              <a:ea typeface="+mn-ea"/>
              <a:cs typeface="Arial" pitchFamily="34" charset="0"/>
            </a:rPr>
            <a:t>-  A business entity is allowed to make provision for their obsolete inventories including raw materials, production tools, goods, finished goods (including inventories which are broken , do not meet the required technical quality, out-of-date, slow-moving, etc.)</a:t>
          </a:r>
          <a:r>
            <a:rPr lang="en-GB" sz="1000" baseline="0">
              <a:solidFill>
                <a:schemeClr val="lt1"/>
              </a:solidFill>
              <a:latin typeface="Arial" pitchFamily="34" charset="0"/>
              <a:ea typeface="+mn-ea"/>
              <a:cs typeface="Arial" pitchFamily="34" charset="0"/>
            </a:rPr>
            <a:t>, and work in progress (including goods and/or services);</a:t>
          </a:r>
        </a:p>
        <a:p>
          <a:pPr algn="l"/>
          <a:r>
            <a:rPr lang="en-GB" sz="1000" baseline="0">
              <a:solidFill>
                <a:schemeClr val="lt1"/>
              </a:solidFill>
              <a:latin typeface="Arial" pitchFamily="34" charset="0"/>
              <a:ea typeface="+mn-ea"/>
              <a:cs typeface="Arial" pitchFamily="34" charset="0"/>
            </a:rPr>
            <a:t>-  The historical cost of the inventories stated in accounting books are greater than their net realizable value ("NRV'); </a:t>
          </a:r>
        </a:p>
        <a:p>
          <a:pPr algn="l"/>
          <a:r>
            <a:rPr lang="en-US" sz="1000" baseline="0">
              <a:solidFill>
                <a:schemeClr val="lt1"/>
              </a:solidFill>
              <a:latin typeface="Arial" pitchFamily="34" charset="0"/>
              <a:ea typeface="+mn-ea"/>
              <a:cs typeface="Arial" pitchFamily="34" charset="0"/>
            </a:rPr>
            <a:t>-  The inventories are supported by legitimate invoices, or other supporting documents justifying the historical cost of  the inventories; and</a:t>
          </a:r>
        </a:p>
        <a:p>
          <a:pPr algn="l"/>
          <a:r>
            <a:rPr lang="en-US" sz="1000" baseline="0">
              <a:solidFill>
                <a:schemeClr val="lt1"/>
              </a:solidFill>
              <a:latin typeface="Arial" pitchFamily="34" charset="0"/>
              <a:ea typeface="+mn-ea"/>
              <a:cs typeface="Arial" pitchFamily="34" charset="0"/>
            </a:rPr>
            <a:t>-  The inventories are legally owned by the Client as at the date when the provision is made.</a:t>
          </a:r>
        </a:p>
        <a:p>
          <a:pPr algn="l"/>
          <a:endParaRPr lang="en-US" sz="1000" baseline="0">
            <a:solidFill>
              <a:schemeClr val="lt1"/>
            </a:solidFill>
            <a:latin typeface="Arial" pitchFamily="34" charset="0"/>
            <a:ea typeface="+mn-ea"/>
            <a:cs typeface="Arial" pitchFamily="34" charset="0"/>
          </a:endParaRPr>
        </a:p>
        <a:p>
          <a:pPr algn="l"/>
          <a:r>
            <a:rPr lang="en-US" sz="1000" baseline="0">
              <a:solidFill>
                <a:schemeClr val="lt1"/>
              </a:solidFill>
              <a:latin typeface="Arial" pitchFamily="34" charset="0"/>
              <a:ea typeface="+mn-ea"/>
              <a:cs typeface="Arial" pitchFamily="34" charset="0"/>
            </a:rPr>
            <a:t>If the NRV of the inventories is lower than their historical cost, but the selling price of finished goods which are produced from such inventories does not decrease, the business entity is not allowed to make provision for obsolete inventories</a:t>
          </a:r>
          <a:r>
            <a:rPr lang="en-US" sz="1000" baseline="0">
              <a:latin typeface="Arial" pitchFamily="34" charset="0"/>
              <a:cs typeface="Arial" pitchFamily="34" charset="0"/>
            </a:rPr>
            <a:t>.</a:t>
          </a:r>
        </a:p>
        <a:p>
          <a:pPr algn="l"/>
          <a:endParaRPr lang="en-US" sz="1000" baseline="0">
            <a:latin typeface="Arial" pitchFamily="34" charset="0"/>
            <a:cs typeface="Arial" pitchFamily="34" charset="0"/>
          </a:endParaRPr>
        </a:p>
        <a:p>
          <a:pPr algn="l"/>
          <a:r>
            <a:rPr lang="en-US" sz="1000" baseline="0">
              <a:latin typeface="Arial" pitchFamily="34" charset="0"/>
              <a:cs typeface="Arial" pitchFamily="34" charset="0"/>
            </a:rPr>
            <a:t>The NRV of the inventories is calculated at the estimated selling price LESS the estimated fees for processing and turning such inventories into finished goods, plus the estimated selling expenses.</a:t>
          </a:r>
        </a:p>
        <a:p>
          <a:pPr algn="l"/>
          <a:endParaRPr lang="en-US" sz="1000" baseline="0">
            <a:latin typeface="Arial" pitchFamily="34" charset="0"/>
            <a:cs typeface="Arial" pitchFamily="34" charset="0"/>
          </a:endParaRPr>
        </a:p>
        <a:p>
          <a:pPr algn="l"/>
          <a:r>
            <a:rPr lang="en-US" sz="1000" baseline="0">
              <a:latin typeface="Arial" pitchFamily="34" charset="0"/>
              <a:cs typeface="Arial" pitchFamily="34" charset="0"/>
            </a:rPr>
            <a:t>Provision for obsolete inventory must be calculated and made for each type of inventory.</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380999</xdr:colOff>
      <xdr:row>7</xdr:row>
      <xdr:rowOff>190499</xdr:rowOff>
    </xdr:from>
    <xdr:to>
      <xdr:col>7</xdr:col>
      <xdr:colOff>342900</xdr:colOff>
      <xdr:row>25</xdr:row>
      <xdr:rowOff>180975</xdr:rowOff>
    </xdr:to>
    <xdr:sp macro="" textlink="">
      <xdr:nvSpPr>
        <xdr:cNvPr id="2" name="Round Diagonal Corner Rectangle 1"/>
        <xdr:cNvSpPr/>
      </xdr:nvSpPr>
      <xdr:spPr>
        <a:xfrm>
          <a:off x="380999" y="1628774"/>
          <a:ext cx="8001001" cy="3419476"/>
        </a:xfrm>
        <a:prstGeom prst="round2Diag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l"/>
          <a:r>
            <a:rPr lang="en-US" sz="1000" baseline="0">
              <a:latin typeface="Arial" pitchFamily="34" charset="0"/>
              <a:cs typeface="Arial" pitchFamily="34" charset="0"/>
            </a:rPr>
            <a:t>Provision for devaluation of investment in securities and/or other long-term financial investment will NOT be deductible for CIT purposes if it is NOT made in accordance with Circular 228.</a:t>
          </a:r>
        </a:p>
        <a:p>
          <a:pPr algn="l"/>
          <a:endParaRPr lang="en-US" sz="1000" baseline="0">
            <a:latin typeface="Arial" pitchFamily="34" charset="0"/>
            <a:cs typeface="Arial" pitchFamily="34" charset="0"/>
          </a:endParaRPr>
        </a:p>
        <a:p>
          <a:pPr algn="l"/>
          <a:r>
            <a:rPr lang="en-US" sz="1000" baseline="0">
              <a:latin typeface="Arial" pitchFamily="34" charset="0"/>
              <a:cs typeface="Arial" pitchFamily="34" charset="0"/>
            </a:rPr>
            <a:t>Under Circular 228, determination of such provision is stipulated as follows:</a:t>
          </a:r>
        </a:p>
        <a:p>
          <a:pPr algn="l"/>
          <a:endParaRPr lang="en-US" sz="1000" baseline="0">
            <a:latin typeface="Arial" pitchFamily="34" charset="0"/>
            <a:cs typeface="Arial" pitchFamily="34" charset="0"/>
          </a:endParaRPr>
        </a:p>
        <a:p>
          <a:pPr algn="l"/>
          <a:r>
            <a:rPr lang="en-US" sz="1000" baseline="0">
              <a:latin typeface="Arial" pitchFamily="34" charset="0"/>
              <a:cs typeface="Arial" pitchFamily="34" charset="0"/>
            </a:rPr>
            <a:t>1. With regard to provision for devaluation of investments in securities, securities must be invested in accordance with the current regulations, and freely traded in the market, and the market price of those securities are decreased compared to </a:t>
          </a:r>
          <a:r>
            <a:rPr lang="en-US" sz="1000" baseline="0">
              <a:solidFill>
                <a:schemeClr val="lt1"/>
              </a:solidFill>
              <a:latin typeface="Arial" pitchFamily="34" charset="0"/>
              <a:ea typeface="+mn-ea"/>
              <a:cs typeface="Arial" pitchFamily="34" charset="0"/>
            </a:rPr>
            <a:t>their values stated in accounting booked as at the date of preparing the financial statements. </a:t>
          </a:r>
        </a:p>
        <a:p>
          <a:pPr algn="l"/>
          <a:endParaRPr lang="en-US" sz="1000" baseline="0">
            <a:solidFill>
              <a:schemeClr val="lt1"/>
            </a:solidFill>
            <a:latin typeface="Arial" pitchFamily="34" charset="0"/>
            <a:ea typeface="+mn-ea"/>
            <a:cs typeface="Arial" pitchFamily="34" charset="0"/>
          </a:endParaRPr>
        </a:p>
        <a:p>
          <a:pPr marL="0" marR="0" indent="0" algn="l" defTabSz="914400" eaLnBrk="1" fontAlgn="auto" latinLnBrk="0" hangingPunct="1">
            <a:lnSpc>
              <a:spcPct val="100000"/>
            </a:lnSpc>
            <a:spcBef>
              <a:spcPts val="0"/>
            </a:spcBef>
            <a:spcAft>
              <a:spcPts val="0"/>
            </a:spcAft>
            <a:buClrTx/>
            <a:buSzTx/>
            <a:buFontTx/>
            <a:buNone/>
            <a:tabLst/>
            <a:defRPr/>
          </a:pPr>
          <a:r>
            <a:rPr lang="en-GB" sz="1000" baseline="0">
              <a:solidFill>
                <a:schemeClr val="lt1"/>
              </a:solidFill>
              <a:latin typeface="Arial" pitchFamily="34" charset="0"/>
              <a:ea typeface="+mn-ea"/>
              <a:cs typeface="Arial" pitchFamily="34" charset="0"/>
            </a:rPr>
            <a:t>Provision for devaluation of investments in securities which are not legally traded, e.g. securities are subject to the limitation of transfer according to laws, equity stocks will not be deductible for CIT purposes.</a:t>
          </a:r>
        </a:p>
        <a:p>
          <a:pPr marL="0" marR="0" indent="0" algn="l" defTabSz="914400" eaLnBrk="1" fontAlgn="auto" latinLnBrk="0" hangingPunct="1">
            <a:lnSpc>
              <a:spcPct val="100000"/>
            </a:lnSpc>
            <a:spcBef>
              <a:spcPts val="0"/>
            </a:spcBef>
            <a:spcAft>
              <a:spcPts val="0"/>
            </a:spcAft>
            <a:buClrTx/>
            <a:buSzTx/>
            <a:buFontTx/>
            <a:buNone/>
            <a:tabLst/>
            <a:defRPr/>
          </a:pPr>
          <a:endParaRPr lang="en-GB" sz="1000" baseline="0">
            <a:solidFill>
              <a:schemeClr val="lt1"/>
            </a:solidFill>
            <a:latin typeface="Arial" pitchFamily="34" charset="0"/>
            <a:ea typeface="+mn-ea"/>
            <a:cs typeface="Arial" pitchFamily="34" charset="0"/>
          </a:endParaRPr>
        </a:p>
        <a:p>
          <a:pPr marL="0" marR="0" indent="0" algn="l" defTabSz="914400" eaLnBrk="1" fontAlgn="auto" latinLnBrk="0" hangingPunct="1">
            <a:lnSpc>
              <a:spcPct val="100000"/>
            </a:lnSpc>
            <a:spcBef>
              <a:spcPts val="0"/>
            </a:spcBef>
            <a:spcAft>
              <a:spcPts val="0"/>
            </a:spcAft>
            <a:buClrTx/>
            <a:buSzTx/>
            <a:buFontTx/>
            <a:buNone/>
            <a:tabLst/>
            <a:defRPr/>
          </a:pPr>
          <a:r>
            <a:rPr lang="en-US" sz="1000" baseline="0">
              <a:solidFill>
                <a:schemeClr val="lt1"/>
              </a:solidFill>
              <a:latin typeface="Arial" pitchFamily="34" charset="0"/>
              <a:ea typeface="+mn-ea"/>
              <a:cs typeface="Arial" pitchFamily="34" charset="0"/>
            </a:rPr>
            <a:t>Provision for devaluation of investment in securities made by organisations which are registered and licensed to trade securities, e.g. security companies, fund management companies which are incorporated and operating under the Law on Securities, will be subject to other stipulations (not Circular 228).</a:t>
          </a:r>
        </a:p>
        <a:p>
          <a:pPr algn="l"/>
          <a:endParaRPr lang="en-US" sz="1000" baseline="0">
            <a:latin typeface="Arial" pitchFamily="34" charset="0"/>
            <a:cs typeface="Arial" pitchFamily="34" charset="0"/>
          </a:endParaRPr>
        </a:p>
        <a:p>
          <a:pPr algn="l"/>
          <a:r>
            <a:rPr lang="en-US" sz="1000" baseline="0">
              <a:latin typeface="Arial" pitchFamily="34" charset="0"/>
              <a:cs typeface="Arial" pitchFamily="34" charset="0"/>
            </a:rPr>
            <a:t>2. With regard to provisions for devaluation of long-term financial investments, the invested entity must be in loss position (except for losses which have been forecasted in the invested entity's business plan prior to investment).</a:t>
          </a:r>
        </a:p>
        <a:p>
          <a:pPr algn="l"/>
          <a:endParaRPr lang="en-US" sz="1000" baseline="0">
            <a:latin typeface="Arial" pitchFamily="34" charset="0"/>
            <a:cs typeface="Arial" pitchFamily="34" charset="0"/>
          </a:endParaRPr>
        </a:p>
        <a:p>
          <a:pPr algn="l"/>
          <a:r>
            <a:rPr lang="en-US" sz="1000" baseline="0">
              <a:latin typeface="Arial" pitchFamily="34" charset="0"/>
              <a:cs typeface="Arial" pitchFamily="34" charset="0"/>
            </a:rPr>
            <a:t>Provisions for losses due to investment in securities and/or long-term financial investments must be made for each type of securities and long-term financial investment.</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1</xdr:col>
      <xdr:colOff>0</xdr:colOff>
      <xdr:row>9</xdr:row>
      <xdr:rowOff>0</xdr:rowOff>
    </xdr:from>
    <xdr:to>
      <xdr:col>5</xdr:col>
      <xdr:colOff>571500</xdr:colOff>
      <xdr:row>19</xdr:row>
      <xdr:rowOff>180975</xdr:rowOff>
    </xdr:to>
    <xdr:sp macro="" textlink="">
      <xdr:nvSpPr>
        <xdr:cNvPr id="2" name="Round Diagonal Corner Rectangle 1"/>
        <xdr:cNvSpPr/>
      </xdr:nvSpPr>
      <xdr:spPr>
        <a:xfrm>
          <a:off x="314325" y="1819275"/>
          <a:ext cx="7277100" cy="1895475"/>
        </a:xfrm>
        <a:prstGeom prst="round2Diag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l"/>
          <a:r>
            <a:rPr lang="en-US" sz="1000" baseline="0">
              <a:solidFill>
                <a:schemeClr val="lt1"/>
              </a:solidFill>
              <a:latin typeface="Arial" pitchFamily="34" charset="0"/>
              <a:ea typeface="+mn-ea"/>
              <a:cs typeface="Arial" pitchFamily="34" charset="0"/>
            </a:rPr>
            <a:t>Provision for doubtful debts will NOT be deductible for CIT purposes if it is NOT made in accordance with Circular 228.</a:t>
          </a:r>
        </a:p>
        <a:p>
          <a:pPr algn="l"/>
          <a:endParaRPr lang="en-US" sz="1000" baseline="0">
            <a:solidFill>
              <a:schemeClr val="lt1"/>
            </a:solidFill>
            <a:latin typeface="Arial" pitchFamily="34" charset="0"/>
            <a:ea typeface="+mn-ea"/>
            <a:cs typeface="Arial" pitchFamily="34" charset="0"/>
          </a:endParaRPr>
        </a:p>
        <a:p>
          <a:pPr algn="l"/>
          <a:r>
            <a:rPr lang="en-US" sz="1000" baseline="0">
              <a:solidFill>
                <a:schemeClr val="lt1"/>
              </a:solidFill>
              <a:latin typeface="Arial" pitchFamily="34" charset="0"/>
              <a:ea typeface="+mn-ea"/>
              <a:cs typeface="Arial" pitchFamily="34" charset="0"/>
            </a:rPr>
            <a:t>Under Circular 228, such provison is stipulated as follows:</a:t>
          </a:r>
        </a:p>
        <a:p>
          <a:pPr algn="l"/>
          <a:endParaRPr lang="en-US" sz="1000" baseline="0">
            <a:solidFill>
              <a:schemeClr val="lt1"/>
            </a:solidFill>
            <a:latin typeface="Arial" pitchFamily="34" charset="0"/>
            <a:ea typeface="+mn-ea"/>
            <a:cs typeface="Arial" pitchFamily="34" charset="0"/>
          </a:endParaRPr>
        </a:p>
        <a:p>
          <a:pPr algn="l"/>
          <a:r>
            <a:rPr lang="en-US" sz="1000" baseline="0">
              <a:solidFill>
                <a:schemeClr val="lt1"/>
              </a:solidFill>
              <a:latin typeface="Arial" pitchFamily="34" charset="0"/>
              <a:ea typeface="+mn-ea"/>
              <a:cs typeface="Arial" pitchFamily="34" charset="0"/>
            </a:rPr>
            <a:t>-  The debts are supported by legitimate supporting documents (e.g. sales/loan contracts, invoices, minutes of contract liquidation), written confirmation of debtors on their outstanding obligations, and other relevant supporting documents; and</a:t>
          </a:r>
        </a:p>
        <a:p>
          <a:pPr algn="l"/>
          <a:endParaRPr lang="en-US" sz="1000" baseline="0">
            <a:solidFill>
              <a:schemeClr val="lt1"/>
            </a:solidFill>
            <a:latin typeface="Arial" pitchFamily="34" charset="0"/>
            <a:ea typeface="+mn-ea"/>
            <a:cs typeface="Arial" pitchFamily="34" charset="0"/>
          </a:endParaRPr>
        </a:p>
        <a:p>
          <a:pPr algn="l"/>
          <a:r>
            <a:rPr lang="en-US" sz="1000" baseline="0">
              <a:solidFill>
                <a:schemeClr val="lt1"/>
              </a:solidFill>
              <a:latin typeface="Arial" pitchFamily="34" charset="0"/>
              <a:ea typeface="+mn-ea"/>
              <a:cs typeface="Arial" pitchFamily="34" charset="0"/>
            </a:rPr>
            <a:t>-  The debt becomes doubtful, i.e. the debt become overdue based on economic contracts, loan contract or other supporting documents; or  the debt is not overdue yet, but the debtor declares bankruptcy, dissolves, disappears, runs away, is subject to prosecution or detention, or dies, etc.</a:t>
          </a:r>
        </a:p>
        <a:p>
          <a:pPr algn="l"/>
          <a:endParaRPr lang="en-US" sz="1000" baseline="0">
            <a:solidFill>
              <a:schemeClr val="lt1"/>
            </a:solidFill>
            <a:latin typeface="Arial" pitchFamily="34" charset="0"/>
            <a:ea typeface="+mn-ea"/>
            <a:cs typeface="Arial" pitchFamily="34" charset="0"/>
          </a:endParaRPr>
        </a:p>
        <a:p>
          <a:pPr algn="l"/>
          <a:r>
            <a:rPr lang="en-US" sz="1000" baseline="0">
              <a:solidFill>
                <a:schemeClr val="lt1"/>
              </a:solidFill>
              <a:latin typeface="Arial" pitchFamily="34" charset="0"/>
              <a:ea typeface="+mn-ea"/>
              <a:cs typeface="Arial" pitchFamily="34" charset="0"/>
            </a:rPr>
            <a:t>Provisions for doubtful debt must be made for each debt.</a:t>
          </a:r>
        </a:p>
        <a:p>
          <a:pPr algn="l"/>
          <a:endParaRPr lang="en-US" sz="1000" baseline="0">
            <a:latin typeface="Arial" pitchFamily="34" charset="0"/>
            <a:cs typeface="Arial" pitchFamily="34" charset="0"/>
          </a:endParaRPr>
        </a:p>
        <a:p>
          <a:pPr algn="l"/>
          <a:endParaRPr lang="en-US" sz="1000" baseline="0">
            <a:latin typeface="Arial" pitchFamily="34" charset="0"/>
            <a:cs typeface="Arial" pitchFamily="34" charset="0"/>
          </a:endParaRPr>
        </a:p>
        <a:p>
          <a:pPr algn="l"/>
          <a:endParaRPr lang="en-US" sz="1000" baseline="0">
            <a:latin typeface="Arial" pitchFamily="34" charset="0"/>
            <a:cs typeface="Arial" pitchFamily="34" charset="0"/>
          </a:endParaRPr>
        </a:p>
        <a:p>
          <a:pPr algn="l"/>
          <a:endParaRPr lang="en-US" sz="1000" baseline="0">
            <a:latin typeface="Arial" pitchFamily="34" charset="0"/>
            <a:cs typeface="Arial" pitchFamily="34" charset="0"/>
          </a:endParaRPr>
        </a:p>
        <a:p>
          <a:pPr algn="l"/>
          <a:endParaRPr lang="en-US" sz="1000" baseline="0">
            <a:latin typeface="Arial" pitchFamily="34" charset="0"/>
            <a:cs typeface="Arial" pitchFamily="34" charset="0"/>
          </a:endParaRPr>
        </a:p>
        <a:p>
          <a:pPr algn="l"/>
          <a:endParaRPr lang="en-US" sz="1000" baseline="0">
            <a:latin typeface="Arial" pitchFamily="34" charset="0"/>
            <a:cs typeface="Arial" pitchFamily="34" charset="0"/>
          </a:endParaRPr>
        </a:p>
        <a:p>
          <a:pPr algn="l"/>
          <a:endParaRPr lang="en-US" sz="1000" baseline="0">
            <a:latin typeface="Arial" pitchFamily="34" charset="0"/>
            <a:cs typeface="Arial" pitchFamily="34" charset="0"/>
          </a:endParaRPr>
        </a:p>
        <a:p>
          <a:pPr algn="l"/>
          <a:endParaRPr lang="en-US" sz="1000" baseline="0">
            <a:latin typeface="Arial" pitchFamily="34" charset="0"/>
            <a:cs typeface="Arial" pitchFamily="34" charset="0"/>
          </a:endParaRPr>
        </a:p>
        <a:p>
          <a:pPr algn="l"/>
          <a:endParaRPr lang="en-US" sz="1000" baseline="0">
            <a:latin typeface="Arial" pitchFamily="34" charset="0"/>
            <a:cs typeface="Arial" pitchFamily="34" charset="0"/>
          </a:endParaRPr>
        </a:p>
        <a:p>
          <a:pPr algn="l"/>
          <a:endParaRPr lang="en-US" sz="1000" baseline="0">
            <a:latin typeface="Arial" pitchFamily="34" charset="0"/>
            <a:cs typeface="Arial" pitchFamily="34" charset="0"/>
          </a:endParaRPr>
        </a:p>
        <a:p>
          <a:pPr algn="l"/>
          <a:endParaRPr lang="en-US" sz="1000" baseline="0">
            <a:latin typeface="Arial" pitchFamily="34" charset="0"/>
            <a:cs typeface="Arial" pitchFamily="34" charset="0"/>
          </a:endParaRPr>
        </a:p>
        <a:p>
          <a:pPr algn="l"/>
          <a:endParaRPr lang="en-US" sz="1000" baseline="0">
            <a:latin typeface="Arial" pitchFamily="34" charset="0"/>
            <a:cs typeface="Arial" pitchFamily="34" charset="0"/>
          </a:endParaRPr>
        </a:p>
        <a:p>
          <a:pPr algn="l"/>
          <a:endParaRPr lang="en-US" sz="1000" baseline="0">
            <a:latin typeface="Arial" pitchFamily="34" charset="0"/>
            <a:cs typeface="Arial" pitchFamily="34" charset="0"/>
          </a:endParaRPr>
        </a:p>
        <a:p>
          <a:pPr algn="l"/>
          <a:endParaRPr lang="en-US" sz="1000" baseline="0">
            <a:latin typeface="Arial" pitchFamily="34" charset="0"/>
            <a:cs typeface="Arial" pitchFamily="34" charset="0"/>
          </a:endParaRPr>
        </a:p>
        <a:p>
          <a:pPr algn="l"/>
          <a:endParaRPr lang="en-US" sz="1000" baseline="0">
            <a:latin typeface="Arial" pitchFamily="34" charset="0"/>
            <a:cs typeface="Arial" pitchFamily="34" charset="0"/>
          </a:endParaRPr>
        </a:p>
        <a:p>
          <a:pPr algn="l"/>
          <a:endParaRPr lang="en-US" sz="1000" baseline="0">
            <a:latin typeface="Arial" pitchFamily="34" charset="0"/>
            <a:cs typeface="Arial" pitchFamily="34" charset="0"/>
          </a:endParaRPr>
        </a:p>
        <a:p>
          <a:pPr algn="l"/>
          <a:endParaRPr lang="en-US" sz="1000" baseline="0">
            <a:latin typeface="Arial" pitchFamily="34" charset="0"/>
            <a:cs typeface="Arial" pitchFamily="34" charset="0"/>
          </a:endParaRPr>
        </a:p>
        <a:p>
          <a:pPr algn="l"/>
          <a:endParaRPr lang="en-US" sz="1000" baseline="0">
            <a:latin typeface="Arial" pitchFamily="34" charset="0"/>
            <a:cs typeface="Arial" pitchFamily="34" charset="0"/>
          </a:endParaRPr>
        </a:p>
        <a:p>
          <a:pPr algn="l"/>
          <a:endParaRPr lang="en-US" sz="1000" baseline="0">
            <a:latin typeface="Arial" pitchFamily="34" charset="0"/>
            <a:cs typeface="Arial" pitchFamily="34" charset="0"/>
          </a:endParaRPr>
        </a:p>
        <a:p>
          <a:pPr algn="l"/>
          <a:r>
            <a:rPr lang="en-US" sz="1000" baseline="0">
              <a:latin typeface="Arial" pitchFamily="34" charset="0"/>
              <a:cs typeface="Arial" pitchFamily="34" charset="0"/>
            </a:rPr>
            <a:t> </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419101</xdr:colOff>
      <xdr:row>9</xdr:row>
      <xdr:rowOff>0</xdr:rowOff>
    </xdr:from>
    <xdr:to>
      <xdr:col>5</xdr:col>
      <xdr:colOff>581025</xdr:colOff>
      <xdr:row>18</xdr:row>
      <xdr:rowOff>171450</xdr:rowOff>
    </xdr:to>
    <xdr:sp macro="" textlink="">
      <xdr:nvSpPr>
        <xdr:cNvPr id="2" name="Round Diagonal Corner Rectangle 1"/>
        <xdr:cNvSpPr/>
      </xdr:nvSpPr>
      <xdr:spPr>
        <a:xfrm>
          <a:off x="419101" y="1819275"/>
          <a:ext cx="7124699" cy="1885950"/>
        </a:xfrm>
        <a:prstGeom prst="round2Diag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l"/>
          <a:r>
            <a:rPr lang="vi-VN" sz="1000" baseline="0">
              <a:latin typeface="Arial" pitchFamily="34" charset="0"/>
              <a:cs typeface="Arial" pitchFamily="34" charset="0"/>
            </a:rPr>
            <a:t>Provision for warranty will </a:t>
          </a:r>
          <a:r>
            <a:rPr lang="en-US" sz="1000" baseline="0">
              <a:latin typeface="Arial" pitchFamily="34" charset="0"/>
              <a:cs typeface="Arial" pitchFamily="34" charset="0"/>
            </a:rPr>
            <a:t>NOT </a:t>
          </a:r>
          <a:r>
            <a:rPr lang="vi-VN" sz="1000" baseline="0">
              <a:latin typeface="Arial" pitchFamily="34" charset="0"/>
              <a:cs typeface="Arial" pitchFamily="34" charset="0"/>
            </a:rPr>
            <a:t>be deductible for CIT p</a:t>
          </a:r>
          <a:r>
            <a:rPr lang="en-US" sz="1000" baseline="0">
              <a:latin typeface="Arial" pitchFamily="34" charset="0"/>
              <a:cs typeface="Arial" pitchFamily="34" charset="0"/>
            </a:rPr>
            <a:t>urpose</a:t>
          </a:r>
          <a:r>
            <a:rPr lang="vi-VN" sz="1000" baseline="0">
              <a:latin typeface="Arial" pitchFamily="34" charset="0"/>
              <a:cs typeface="Arial" pitchFamily="34" charset="0"/>
            </a:rPr>
            <a:t>s </a:t>
          </a:r>
          <a:r>
            <a:rPr lang="en-US" sz="1000" baseline="0">
              <a:latin typeface="Arial" pitchFamily="34" charset="0"/>
              <a:cs typeface="Arial" pitchFamily="34" charset="0"/>
            </a:rPr>
            <a:t>if</a:t>
          </a:r>
          <a:r>
            <a:rPr lang="vi-VN" sz="1000" baseline="0">
              <a:latin typeface="Arial" pitchFamily="34" charset="0"/>
              <a:cs typeface="Arial" pitchFamily="34" charset="0"/>
            </a:rPr>
            <a:t> it is </a:t>
          </a:r>
          <a:r>
            <a:rPr lang="en-US" sz="1000" baseline="0">
              <a:latin typeface="Arial" pitchFamily="34" charset="0"/>
              <a:cs typeface="Arial" pitchFamily="34" charset="0"/>
            </a:rPr>
            <a:t>NOT </a:t>
          </a:r>
          <a:r>
            <a:rPr lang="vi-VN" sz="1000" baseline="0">
              <a:latin typeface="Arial" pitchFamily="34" charset="0"/>
              <a:cs typeface="Arial" pitchFamily="34" charset="0"/>
            </a:rPr>
            <a:t>made in accordance with </a:t>
          </a:r>
          <a:r>
            <a:rPr lang="en-US" sz="1000" baseline="0">
              <a:latin typeface="Arial" pitchFamily="34" charset="0"/>
              <a:cs typeface="Arial" pitchFamily="34" charset="0"/>
            </a:rPr>
            <a:t>Circular 228.</a:t>
          </a:r>
        </a:p>
        <a:p>
          <a:pPr algn="l"/>
          <a:endParaRPr lang="en-US" sz="1000" baseline="0">
            <a:latin typeface="Arial" pitchFamily="34" charset="0"/>
            <a:cs typeface="Arial" pitchFamily="34" charset="0"/>
          </a:endParaRPr>
        </a:p>
        <a:p>
          <a:pPr algn="l"/>
          <a:r>
            <a:rPr lang="en-US" sz="1000" baseline="0">
              <a:latin typeface="Arial" pitchFamily="34" charset="0"/>
              <a:cs typeface="Arial" pitchFamily="34" charset="0"/>
            </a:rPr>
            <a:t>Under Circular 228, provision for warranty is stipulated as follows</a:t>
          </a:r>
          <a:r>
            <a:rPr lang="vi-VN" sz="1000" baseline="0">
              <a:latin typeface="Arial" pitchFamily="34" charset="0"/>
              <a:cs typeface="Arial" pitchFamily="34" charset="0"/>
            </a:rPr>
            <a:t>:</a:t>
          </a:r>
        </a:p>
        <a:p>
          <a:pPr algn="l"/>
          <a:endParaRPr lang="vi-VN" sz="1000" baseline="0">
            <a:latin typeface="Arial" pitchFamily="34" charset="0"/>
            <a:cs typeface="Arial" pitchFamily="34" charset="0"/>
          </a:endParaRPr>
        </a:p>
        <a:p>
          <a:pPr algn="l"/>
          <a:r>
            <a:rPr lang="vi-VN" sz="1000" baseline="0">
              <a:latin typeface="Arial" pitchFamily="34" charset="0"/>
              <a:cs typeface="Arial" pitchFamily="34" charset="0"/>
            </a:rPr>
            <a:t>-  Provision for warranty in relation to products, goods, and construction works which are implemented, sold and/or delivered during the year by the entity, and over which the entity has its warranty obligations stated in the contracts or required by current regulations.</a:t>
          </a:r>
        </a:p>
        <a:p>
          <a:pPr algn="l"/>
          <a:endParaRPr lang="vi-VN" sz="1000" baseline="0">
            <a:latin typeface="Arial" pitchFamily="34" charset="0"/>
            <a:cs typeface="Arial" pitchFamily="34" charset="0"/>
          </a:endParaRPr>
        </a:p>
        <a:p>
          <a:pPr algn="l"/>
          <a:r>
            <a:rPr lang="vi-VN" sz="1000" baseline="0">
              <a:latin typeface="Arial" pitchFamily="34" charset="0"/>
              <a:cs typeface="Arial" pitchFamily="34" charset="0"/>
            </a:rPr>
            <a:t>-  Pr</a:t>
          </a:r>
          <a:r>
            <a:rPr lang="en-US" sz="1000" baseline="0">
              <a:latin typeface="Arial" pitchFamily="34" charset="0"/>
              <a:cs typeface="Arial" pitchFamily="34" charset="0"/>
            </a:rPr>
            <a:t>ovision for warranty </a:t>
          </a:r>
          <a:r>
            <a:rPr lang="vi-VN" sz="1000" baseline="0">
              <a:latin typeface="Arial" pitchFamily="34" charset="0"/>
              <a:cs typeface="Arial" pitchFamily="34" charset="0"/>
            </a:rPr>
            <a:t>does not exceed </a:t>
          </a:r>
          <a:r>
            <a:rPr lang="en-US" sz="1000" baseline="0">
              <a:latin typeface="Arial" pitchFamily="34" charset="0"/>
              <a:cs typeface="Arial" pitchFamily="34" charset="0"/>
            </a:rPr>
            <a:t>5% </a:t>
          </a:r>
          <a:r>
            <a:rPr lang="vi-VN" sz="1000" baseline="0">
              <a:latin typeface="Arial" pitchFamily="34" charset="0"/>
              <a:cs typeface="Arial" pitchFamily="34" charset="0"/>
            </a:rPr>
            <a:t>of the </a:t>
          </a:r>
          <a:r>
            <a:rPr lang="en-US" sz="1000" baseline="0">
              <a:latin typeface="Arial" pitchFamily="34" charset="0"/>
              <a:cs typeface="Arial" pitchFamily="34" charset="0"/>
            </a:rPr>
            <a:t>total revenue </a:t>
          </a:r>
          <a:r>
            <a:rPr lang="vi-VN" sz="1000" baseline="0">
              <a:latin typeface="Arial" pitchFamily="34" charset="0"/>
              <a:cs typeface="Arial" pitchFamily="34" charset="0"/>
            </a:rPr>
            <a:t>derived by the entity in relation to the s</a:t>
          </a:r>
          <a:r>
            <a:rPr lang="en-US" sz="1000" baseline="0">
              <a:latin typeface="Arial" pitchFamily="34" charset="0"/>
              <a:cs typeface="Arial" pitchFamily="34" charset="0"/>
            </a:rPr>
            <a:t>ales of goods </a:t>
          </a:r>
          <a:r>
            <a:rPr lang="vi-VN" sz="1000" baseline="0">
              <a:latin typeface="Arial" pitchFamily="34" charset="0"/>
              <a:cs typeface="Arial" pitchFamily="34" charset="0"/>
            </a:rPr>
            <a:t>and/</a:t>
          </a:r>
          <a:r>
            <a:rPr lang="en-US" sz="1000" baseline="0">
              <a:latin typeface="Arial" pitchFamily="34" charset="0"/>
              <a:cs typeface="Arial" pitchFamily="34" charset="0"/>
            </a:rPr>
            <a:t>or </a:t>
          </a:r>
          <a:r>
            <a:rPr lang="vi-VN" sz="1000" baseline="0">
              <a:latin typeface="Arial" pitchFamily="34" charset="0"/>
              <a:cs typeface="Arial" pitchFamily="34" charset="0"/>
            </a:rPr>
            <a:t>the delivery of </a:t>
          </a:r>
          <a:r>
            <a:rPr lang="en-US" sz="1000" baseline="0">
              <a:latin typeface="Arial" pitchFamily="34" charset="0"/>
              <a:cs typeface="Arial" pitchFamily="34" charset="0"/>
            </a:rPr>
            <a:t>services and/or </a:t>
          </a:r>
          <a:r>
            <a:rPr lang="vi-VN" sz="1000" baseline="0">
              <a:latin typeface="Arial" pitchFamily="34" charset="0"/>
              <a:cs typeface="Arial" pitchFamily="34" charset="0"/>
            </a:rPr>
            <a:t>c</a:t>
          </a:r>
          <a:r>
            <a:rPr lang="en-US" sz="1000" baseline="0">
              <a:latin typeface="Arial" pitchFamily="34" charset="0"/>
              <a:cs typeface="Arial" pitchFamily="34" charset="0"/>
            </a:rPr>
            <a:t>onstruction projects.  </a:t>
          </a:r>
        </a:p>
        <a:p>
          <a:pPr algn="l"/>
          <a:endParaRPr lang="en-US" sz="1000" baseline="0">
            <a:latin typeface="Arial" pitchFamily="34" charset="0"/>
            <a:cs typeface="Arial" pitchFamily="34" charset="0"/>
          </a:endParaRPr>
        </a:p>
        <a:p>
          <a:pPr algn="l"/>
          <a:r>
            <a:rPr lang="en-US" sz="1000" baseline="0">
              <a:latin typeface="Arial" pitchFamily="34" charset="0"/>
              <a:cs typeface="Arial" pitchFamily="34" charset="0"/>
            </a:rPr>
            <a:t>The provision for warranty will be deductible for CIT purposes if they are relevant to goods or services sold/provided, or construction projects delivered, during the year.</a:t>
          </a:r>
        </a:p>
        <a:p>
          <a:pPr algn="l"/>
          <a:endParaRPr lang="en-US" sz="1000" baseline="0">
            <a:latin typeface="Arial" pitchFamily="34" charset="0"/>
            <a:cs typeface="Arial" pitchFamily="34" charset="0"/>
          </a:endParaRPr>
        </a:p>
        <a:p>
          <a:pPr algn="l"/>
          <a:r>
            <a:rPr lang="en-US" sz="1000" baseline="0">
              <a:latin typeface="Arial" pitchFamily="34" charset="0"/>
              <a:cs typeface="Arial" pitchFamily="34" charset="0"/>
            </a:rPr>
            <a:t> Provisions for warrant must be made for each type of goods, services or construction projects.</a:t>
          </a:r>
        </a:p>
        <a:p>
          <a:pPr algn="l"/>
          <a:endParaRPr lang="en-US" sz="1000" baseline="0">
            <a:latin typeface="Arial" pitchFamily="34" charset="0"/>
            <a:cs typeface="Arial" pitchFamily="34" charset="0"/>
          </a:endParaRPr>
        </a:p>
        <a:p>
          <a:pPr algn="l"/>
          <a:endParaRPr lang="en-US" sz="1000" baseline="0">
            <a:latin typeface="Arial" pitchFamily="34" charset="0"/>
            <a:cs typeface="Arial" pitchFamily="34" charset="0"/>
          </a:endParaRPr>
        </a:p>
        <a:p>
          <a:pPr algn="l"/>
          <a:endParaRPr lang="en-US" sz="1000" baseline="0">
            <a:latin typeface="Arial" pitchFamily="34" charset="0"/>
            <a:cs typeface="Arial" pitchFamily="34" charset="0"/>
          </a:endParaRPr>
        </a:p>
        <a:p>
          <a:pPr algn="l"/>
          <a:endParaRPr lang="en-US" sz="1000" baseline="0">
            <a:latin typeface="Arial" pitchFamily="34" charset="0"/>
            <a:cs typeface="Arial" pitchFamily="34" charset="0"/>
          </a:endParaRPr>
        </a:p>
        <a:p>
          <a:pPr algn="l"/>
          <a:endParaRPr lang="en-US" sz="1000" baseline="0">
            <a:latin typeface="Arial" pitchFamily="34" charset="0"/>
            <a:cs typeface="Arial" pitchFamily="34" charset="0"/>
          </a:endParaRPr>
        </a:p>
        <a:p>
          <a:pPr algn="l"/>
          <a:endParaRPr lang="en-US" sz="1000" baseline="0">
            <a:latin typeface="Arial" pitchFamily="34" charset="0"/>
            <a:cs typeface="Arial" pitchFamily="34" charset="0"/>
          </a:endParaRPr>
        </a:p>
        <a:p>
          <a:pPr algn="l"/>
          <a:endParaRPr lang="en-US" sz="1000" baseline="0">
            <a:latin typeface="Arial" pitchFamily="34" charset="0"/>
            <a:cs typeface="Arial" pitchFamily="34" charset="0"/>
          </a:endParaRPr>
        </a:p>
        <a:p>
          <a:pPr algn="l"/>
          <a:endParaRPr lang="en-US" sz="1000" baseline="0">
            <a:latin typeface="Arial" pitchFamily="34" charset="0"/>
            <a:cs typeface="Arial" pitchFamily="34" charset="0"/>
          </a:endParaRPr>
        </a:p>
        <a:p>
          <a:pPr algn="l"/>
          <a:endParaRPr lang="en-US" sz="1000" baseline="0">
            <a:latin typeface="Arial" pitchFamily="34" charset="0"/>
            <a:cs typeface="Arial" pitchFamily="34" charset="0"/>
          </a:endParaRPr>
        </a:p>
        <a:p>
          <a:pPr algn="l"/>
          <a:endParaRPr lang="en-US" sz="1000" baseline="0">
            <a:latin typeface="Arial" pitchFamily="34" charset="0"/>
            <a:cs typeface="Arial" pitchFamily="34" charset="0"/>
          </a:endParaRPr>
        </a:p>
        <a:p>
          <a:pPr algn="l"/>
          <a:endParaRPr lang="en-US" sz="1000" baseline="0">
            <a:latin typeface="Arial" pitchFamily="34" charset="0"/>
            <a:cs typeface="Arial" pitchFamily="34" charset="0"/>
          </a:endParaRPr>
        </a:p>
        <a:p>
          <a:pPr algn="l"/>
          <a:endParaRPr lang="en-US" sz="1000" baseline="0">
            <a:latin typeface="Arial" pitchFamily="34" charset="0"/>
            <a:cs typeface="Arial" pitchFamily="34" charset="0"/>
          </a:endParaRPr>
        </a:p>
        <a:p>
          <a:pPr algn="l"/>
          <a:endParaRPr lang="en-US" sz="1000" baseline="0">
            <a:latin typeface="Arial" pitchFamily="34" charset="0"/>
            <a:cs typeface="Arial" pitchFamily="34" charset="0"/>
          </a:endParaRPr>
        </a:p>
        <a:p>
          <a:pPr algn="l"/>
          <a:endParaRPr lang="en-US" sz="1000" baseline="0">
            <a:latin typeface="Arial" pitchFamily="34" charset="0"/>
            <a:cs typeface="Arial" pitchFamily="34" charset="0"/>
          </a:endParaRPr>
        </a:p>
        <a:p>
          <a:pPr algn="l"/>
          <a:endParaRPr lang="en-US" sz="1000" baseline="0">
            <a:latin typeface="Arial" pitchFamily="34" charset="0"/>
            <a:cs typeface="Arial" pitchFamily="34" charset="0"/>
          </a:endParaRPr>
        </a:p>
        <a:p>
          <a:pPr algn="l"/>
          <a:endParaRPr lang="en-US" sz="1000" baseline="0">
            <a:latin typeface="Arial" pitchFamily="34" charset="0"/>
            <a:cs typeface="Arial" pitchFamily="34" charset="0"/>
          </a:endParaRPr>
        </a:p>
        <a:p>
          <a:pPr algn="l"/>
          <a:endParaRPr lang="en-US" sz="1000" baseline="0">
            <a:latin typeface="Arial" pitchFamily="34" charset="0"/>
            <a:cs typeface="Arial" pitchFamily="34" charset="0"/>
          </a:endParaRPr>
        </a:p>
        <a:p>
          <a:pPr algn="l"/>
          <a:endParaRPr lang="en-US" sz="1000" baseline="0">
            <a:latin typeface="Arial" pitchFamily="34" charset="0"/>
            <a:cs typeface="Arial" pitchFamily="34" charset="0"/>
          </a:endParaRPr>
        </a:p>
        <a:p>
          <a:pPr algn="l"/>
          <a:endParaRPr lang="en-US" sz="1000" baseline="0">
            <a:latin typeface="Arial" pitchFamily="34" charset="0"/>
            <a:cs typeface="Arial" pitchFamily="34" charset="0"/>
          </a:endParaRPr>
        </a:p>
        <a:p>
          <a:pPr algn="l"/>
          <a:r>
            <a:rPr lang="en-US" sz="1000" baseline="0">
              <a:latin typeface="Arial" pitchFamily="34" charset="0"/>
              <a:cs typeface="Arial" pitchFamily="34" charset="0"/>
            </a:rPr>
            <a:t> </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1</xdr:col>
      <xdr:colOff>0</xdr:colOff>
      <xdr:row>7</xdr:row>
      <xdr:rowOff>180976</xdr:rowOff>
    </xdr:from>
    <xdr:to>
      <xdr:col>7</xdr:col>
      <xdr:colOff>342900</xdr:colOff>
      <xdr:row>16</xdr:row>
      <xdr:rowOff>114300</xdr:rowOff>
    </xdr:to>
    <xdr:sp macro="" textlink="">
      <xdr:nvSpPr>
        <xdr:cNvPr id="4" name="Round Diagonal Corner Rectangle 3"/>
        <xdr:cNvSpPr/>
      </xdr:nvSpPr>
      <xdr:spPr>
        <a:xfrm>
          <a:off x="247650" y="1590676"/>
          <a:ext cx="7419975" cy="1647824"/>
        </a:xfrm>
        <a:prstGeom prst="round2Diag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l"/>
          <a:r>
            <a:rPr lang="en-US" sz="1000" baseline="0">
              <a:solidFill>
                <a:schemeClr val="lt1"/>
              </a:solidFill>
              <a:latin typeface="Arial" pitchFamily="34" charset="0"/>
              <a:ea typeface="+mn-ea"/>
              <a:cs typeface="Arial" pitchFamily="34" charset="0"/>
            </a:rPr>
            <a:t>- Management expenses which are allocated by a foreign company and charged to its permanent establishment (PE) in Vietnam will be deductible for CIT purposes provided that  such expenses are allocated based on the ratio between the taxable revenue of the PE and the total revenue of the foreign company (including the revenue of the PE).</a:t>
          </a:r>
        </a:p>
        <a:p>
          <a:pPr algn="l"/>
          <a:endParaRPr lang="en-US" sz="1000" baseline="0">
            <a:solidFill>
              <a:schemeClr val="lt1"/>
            </a:solidFill>
            <a:latin typeface="Arial" pitchFamily="34" charset="0"/>
            <a:ea typeface="+mn-ea"/>
            <a:cs typeface="Arial" pitchFamily="34" charset="0"/>
          </a:endParaRPr>
        </a:p>
        <a:p>
          <a:pPr algn="l"/>
          <a:r>
            <a:rPr lang="en-US" sz="1000" baseline="0">
              <a:solidFill>
                <a:schemeClr val="lt1"/>
              </a:solidFill>
              <a:latin typeface="Arial" pitchFamily="34" charset="0"/>
              <a:ea typeface="+mn-ea"/>
              <a:cs typeface="Arial" pitchFamily="34" charset="0"/>
            </a:rPr>
            <a:t>Notes: </a:t>
          </a:r>
        </a:p>
        <a:p>
          <a:pPr algn="l"/>
          <a:r>
            <a:rPr lang="en-US" sz="1000" baseline="0">
              <a:solidFill>
                <a:schemeClr val="lt1"/>
              </a:solidFill>
              <a:latin typeface="Arial" pitchFamily="34" charset="0"/>
              <a:ea typeface="+mn-ea"/>
              <a:cs typeface="Arial" pitchFamily="34" charset="0"/>
            </a:rPr>
            <a:t>-  Management expenses of the foreign company will be allocated and charged to its PE once it is established.</a:t>
          </a:r>
        </a:p>
        <a:p>
          <a:pPr marL="0" marR="0" indent="0" algn="l" defTabSz="914400" eaLnBrk="1" fontAlgn="auto" latinLnBrk="0" hangingPunct="1">
            <a:lnSpc>
              <a:spcPct val="100000"/>
            </a:lnSpc>
            <a:spcBef>
              <a:spcPts val="0"/>
            </a:spcBef>
            <a:spcAft>
              <a:spcPts val="0"/>
            </a:spcAft>
            <a:buClrTx/>
            <a:buSzTx/>
            <a:buFontTx/>
            <a:buNone/>
            <a:tabLst/>
            <a:defRPr/>
          </a:pPr>
          <a:r>
            <a:rPr lang="en-US" sz="1000" baseline="0">
              <a:solidFill>
                <a:schemeClr val="lt1"/>
              </a:solidFill>
              <a:latin typeface="Arial" pitchFamily="34" charset="0"/>
              <a:ea typeface="+mn-ea"/>
              <a:cs typeface="Arial" pitchFamily="34" charset="0"/>
            </a:rPr>
            <a:t>-  The PE of the foreign company is not allowed to claim the deduction of management expenses allocated and charged by the foreign company if it does not comply with the current regulations on accounting regime, invoice and vouchers, and pay taxes in accordance with the current regulations.</a:t>
          </a:r>
        </a:p>
        <a:p>
          <a:pPr algn="l"/>
          <a:endParaRPr lang="en-US" sz="1000">
            <a:latin typeface="Arial" pitchFamily="34" charset="0"/>
            <a:cs typeface="Arial" pitchFamily="34" charset="0"/>
          </a:endParaRPr>
        </a:p>
        <a:p>
          <a:pPr algn="l"/>
          <a:endParaRPr lang="en-US" sz="1000">
            <a:latin typeface="Arial" pitchFamily="34" charset="0"/>
            <a:cs typeface="Arial"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1</xdr:col>
      <xdr:colOff>9525</xdr:colOff>
      <xdr:row>8</xdr:row>
      <xdr:rowOff>9525</xdr:rowOff>
    </xdr:from>
    <xdr:to>
      <xdr:col>5</xdr:col>
      <xdr:colOff>361950</xdr:colOff>
      <xdr:row>15</xdr:row>
      <xdr:rowOff>9525</xdr:rowOff>
    </xdr:to>
    <xdr:sp macro="" textlink="">
      <xdr:nvSpPr>
        <xdr:cNvPr id="3" name="Round Diagonal Corner Rectangle 2"/>
        <xdr:cNvSpPr/>
      </xdr:nvSpPr>
      <xdr:spPr>
        <a:xfrm>
          <a:off x="257175" y="1638300"/>
          <a:ext cx="7334250" cy="1333500"/>
        </a:xfrm>
        <a:prstGeom prst="round2Diag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l"/>
          <a:r>
            <a:rPr lang="en-US" sz="1000">
              <a:latin typeface="Arial" pitchFamily="34" charset="0"/>
              <a:cs typeface="Arial" pitchFamily="34" charset="0"/>
            </a:rPr>
            <a:t>Pursuant to </a:t>
          </a:r>
          <a:r>
            <a:rPr lang="en-US" sz="1000">
              <a:solidFill>
                <a:schemeClr val="bg1"/>
              </a:solidFill>
              <a:latin typeface="Arial" pitchFamily="34" charset="0"/>
              <a:cs typeface="Arial" pitchFamily="34" charset="0"/>
            </a:rPr>
            <a:t>Circular 123/2012/TT-BTC, unrealised </a:t>
          </a:r>
          <a:r>
            <a:rPr lang="en-US" sz="1000" baseline="0">
              <a:solidFill>
                <a:schemeClr val="bg1"/>
              </a:solidFill>
              <a:latin typeface="Arial" pitchFamily="34" charset="0"/>
              <a:cs typeface="Arial" pitchFamily="34" charset="0"/>
            </a:rPr>
            <a:t>foreign exchange </a:t>
          </a:r>
          <a:r>
            <a:rPr lang="en-US" sz="1000" baseline="0">
              <a:latin typeface="Arial" pitchFamily="34" charset="0"/>
              <a:cs typeface="Arial" pitchFamily="34" charset="0"/>
            </a:rPr>
            <a:t>losses due to revaluation of </a:t>
          </a:r>
          <a:r>
            <a:rPr lang="en-US" sz="1000" i="1" u="none" baseline="0">
              <a:latin typeface="Arial" pitchFamily="34" charset="0"/>
              <a:cs typeface="Arial" pitchFamily="34" charset="0"/>
            </a:rPr>
            <a:t>payable account</a:t>
          </a:r>
          <a:r>
            <a:rPr lang="en-US" sz="1000" i="1" baseline="0">
              <a:latin typeface="Arial" pitchFamily="34" charset="0"/>
              <a:cs typeface="Arial" pitchFamily="34" charset="0"/>
            </a:rPr>
            <a:t>s</a:t>
          </a:r>
          <a:r>
            <a:rPr lang="en-US" sz="1000" baseline="0">
              <a:latin typeface="Arial" pitchFamily="34" charset="0"/>
              <a:cs typeface="Arial" pitchFamily="34" charset="0"/>
            </a:rPr>
            <a:t> denominated in foreign currencies will be deductible for CIT purpose.  Accordingly, foreign exchange losses due to revaluation of accounts other than payable accounts are non-deductible for CIT purposes.</a:t>
          </a:r>
        </a:p>
        <a:p>
          <a:pPr algn="l"/>
          <a:endParaRPr lang="en-US" sz="1000" baseline="0">
            <a:latin typeface="Arial" pitchFamily="34" charset="0"/>
            <a:cs typeface="Arial" pitchFamily="34" charset="0"/>
          </a:endParaRPr>
        </a:p>
        <a:p>
          <a:pPr algn="l"/>
          <a:r>
            <a:rPr lang="en-US" sz="1000" baseline="0">
              <a:solidFill>
                <a:srgbClr val="FFC000"/>
              </a:solidFill>
              <a:latin typeface="Arial" pitchFamily="34" charset="0"/>
              <a:cs typeface="Arial" pitchFamily="34" charset="0"/>
            </a:rPr>
            <a:t>Note, unrealised FX loss of APs relating to construction of fixed assets (e.g. build up a factory, warehouse, etc.) which has not been used for the Client's business activities (e.g. the construction costs are captured in Construction In Progress accounts), the expense will not deductible for CIT purposes. </a:t>
          </a:r>
        </a:p>
        <a:p>
          <a:pPr algn="l"/>
          <a:endParaRPr lang="en-US" sz="1000" baseline="0">
            <a:latin typeface="Arial" pitchFamily="34" charset="0"/>
            <a:cs typeface="Arial" pitchFamily="34" charset="0"/>
          </a:endParaRPr>
        </a:p>
        <a:p>
          <a:pPr algn="l"/>
          <a:endParaRPr lang="en-US" sz="1000" baseline="0">
            <a:latin typeface="Arial" pitchFamily="34" charset="0"/>
            <a:cs typeface="Arial" pitchFamily="34" charset="0"/>
          </a:endParaRPr>
        </a:p>
        <a:p>
          <a:pPr algn="l"/>
          <a:endParaRPr lang="en-US" sz="1000" strike="noStrike" baseline="0">
            <a:solidFill>
              <a:schemeClr val="bg1"/>
            </a:solidFill>
            <a:latin typeface="Arial" pitchFamily="34" charset="0"/>
            <a:cs typeface="Arial" pitchFamily="34" charset="0"/>
          </a:endParaRPr>
        </a:p>
        <a:p>
          <a:pPr algn="l"/>
          <a:endParaRPr lang="en-US" sz="1000" baseline="0">
            <a:latin typeface="Arial" pitchFamily="34" charset="0"/>
            <a:cs typeface="Arial" pitchFamily="34" charset="0"/>
          </a:endParaRPr>
        </a:p>
        <a:p>
          <a:pPr algn="l"/>
          <a:endParaRPr lang="en-US" sz="1000" baseline="0">
            <a:latin typeface="Arial" pitchFamily="34" charset="0"/>
            <a:cs typeface="Arial" pitchFamily="34" charset="0"/>
          </a:endParaRPr>
        </a:p>
        <a:p>
          <a:pPr algn="l"/>
          <a:endParaRPr lang="en-US" sz="1000" baseline="0">
            <a:latin typeface="Arial" pitchFamily="34" charset="0"/>
            <a:cs typeface="Arial" pitchFamily="34" charset="0"/>
          </a:endParaRPr>
        </a:p>
        <a:p>
          <a:pPr algn="l"/>
          <a:endParaRPr lang="en-US" sz="1000" baseline="0">
            <a:latin typeface="Arial" pitchFamily="34" charset="0"/>
            <a:cs typeface="Arial" pitchFamily="34" charset="0"/>
          </a:endParaRPr>
        </a:p>
        <a:p>
          <a:pPr algn="l"/>
          <a:endParaRPr lang="en-US" sz="1000" baseline="0">
            <a:latin typeface="Arial" pitchFamily="34" charset="0"/>
            <a:cs typeface="Arial" pitchFamily="34" charset="0"/>
          </a:endParaRPr>
        </a:p>
        <a:p>
          <a:pPr algn="l"/>
          <a:endParaRPr lang="en-US" sz="1000" baseline="0">
            <a:latin typeface="Arial" pitchFamily="34" charset="0"/>
            <a:cs typeface="Arial" pitchFamily="34" charset="0"/>
          </a:endParaRPr>
        </a:p>
        <a:p>
          <a:pPr algn="l"/>
          <a:endParaRPr lang="en-US" sz="1000" baseline="0">
            <a:latin typeface="Arial" pitchFamily="34" charset="0"/>
            <a:cs typeface="Arial" pitchFamily="34" charset="0"/>
          </a:endParaRPr>
        </a:p>
        <a:p>
          <a:pPr algn="l"/>
          <a:endParaRPr lang="en-US" sz="1000" baseline="0">
            <a:latin typeface="Arial" pitchFamily="34" charset="0"/>
            <a:cs typeface="Arial" pitchFamily="34" charset="0"/>
          </a:endParaRPr>
        </a:p>
        <a:p>
          <a:pPr algn="l"/>
          <a:endParaRPr lang="en-US" sz="1000">
            <a:latin typeface="Arial" pitchFamily="34" charset="0"/>
            <a:cs typeface="Arial" pitchFamily="34" charset="0"/>
          </a:endParaRPr>
        </a:p>
        <a:p>
          <a:pPr algn="l"/>
          <a:endParaRPr lang="en-US" sz="1000">
            <a:latin typeface="Arial" pitchFamily="34" charset="0"/>
            <a:cs typeface="Arial"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1</xdr:col>
      <xdr:colOff>19050</xdr:colOff>
      <xdr:row>8</xdr:row>
      <xdr:rowOff>47625</xdr:rowOff>
    </xdr:from>
    <xdr:to>
      <xdr:col>5</xdr:col>
      <xdr:colOff>390525</xdr:colOff>
      <xdr:row>23</xdr:row>
      <xdr:rowOff>19050</xdr:rowOff>
    </xdr:to>
    <xdr:sp macro="" textlink="">
      <xdr:nvSpPr>
        <xdr:cNvPr id="2" name="Round Diagonal Corner Rectangle 1"/>
        <xdr:cNvSpPr/>
      </xdr:nvSpPr>
      <xdr:spPr>
        <a:xfrm>
          <a:off x="266700" y="1685925"/>
          <a:ext cx="7124700" cy="2914650"/>
        </a:xfrm>
        <a:prstGeom prst="round2Diag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l"/>
          <a:r>
            <a:rPr lang="en-US" sz="1000" baseline="0">
              <a:solidFill>
                <a:schemeClr val="bg1"/>
              </a:solidFill>
              <a:latin typeface="Arial" pitchFamily="34" charset="0"/>
              <a:cs typeface="Arial" pitchFamily="34" charset="0"/>
            </a:rPr>
            <a:t>A&amp;P expenses will be deductible for CIT purposes provided that they are relevant to the registered business activities of the entity and supported by legitimate invoices and supporting documents.</a:t>
          </a:r>
          <a:endParaRPr lang="en-US" sz="1100" baseline="0">
            <a:solidFill>
              <a:schemeClr val="bg1"/>
            </a:solidFill>
            <a:latin typeface="+mn-lt"/>
            <a:ea typeface="+mn-ea"/>
            <a:cs typeface="+mn-cs"/>
          </a:endParaRPr>
        </a:p>
        <a:p>
          <a:pPr algn="l"/>
          <a:endParaRPr lang="en-US" sz="1100" baseline="0">
            <a:solidFill>
              <a:schemeClr val="bg1"/>
            </a:solidFill>
            <a:latin typeface="+mn-lt"/>
            <a:ea typeface="+mn-ea"/>
            <a:cs typeface="+mn-cs"/>
          </a:endParaRPr>
        </a:p>
        <a:p>
          <a:pPr algn="l"/>
          <a:r>
            <a:rPr lang="en-US" sz="1000" baseline="0">
              <a:solidFill>
                <a:schemeClr val="bg1"/>
              </a:solidFill>
              <a:latin typeface="Arial" pitchFamily="34" charset="0"/>
              <a:ea typeface="+mn-ea"/>
              <a:cs typeface="Arial" pitchFamily="34" charset="0"/>
            </a:rPr>
            <a:t>Deductible A&amp;P expenses will be subject to a cap of 10% of the entity's total deductible expenses (excluding A&amp;P expenses).  However, with regard to newly established company (after 1 Jan 2009), the cap is 15% for the first three (3) years of operation.  The following A&amp;P expenses are subject to the cap:</a:t>
          </a:r>
        </a:p>
        <a:p>
          <a:pPr algn="l"/>
          <a:endParaRPr lang="en-US" sz="1000" baseline="0">
            <a:solidFill>
              <a:schemeClr val="bg1"/>
            </a:solidFill>
            <a:latin typeface="Arial" pitchFamily="34" charset="0"/>
            <a:cs typeface="Arial" pitchFamily="34" charset="0"/>
          </a:endParaRPr>
        </a:p>
        <a:p>
          <a:pPr algn="l"/>
          <a:r>
            <a:rPr lang="en-US" sz="1000" baseline="0">
              <a:solidFill>
                <a:schemeClr val="bg1"/>
              </a:solidFill>
              <a:latin typeface="Arial" pitchFamily="34" charset="0"/>
              <a:cs typeface="Arial" pitchFamily="34" charset="0"/>
            </a:rPr>
            <a:t>(i)  Expenses incurred for advertising, marketing, promotion and broker's commissions;</a:t>
          </a:r>
        </a:p>
        <a:p>
          <a:pPr algn="l"/>
          <a:r>
            <a:rPr lang="en-US" sz="1000" baseline="0">
              <a:solidFill>
                <a:schemeClr val="bg1"/>
              </a:solidFill>
              <a:latin typeface="Arial" pitchFamily="34" charset="0"/>
              <a:cs typeface="Arial" pitchFamily="34" charset="0"/>
            </a:rPr>
            <a:t>(ii) </a:t>
          </a:r>
          <a:r>
            <a:rPr lang="en-US" sz="1000" baseline="0">
              <a:solidFill>
                <a:schemeClr val="bg1"/>
              </a:solidFill>
              <a:latin typeface="Arial" pitchFamily="34" charset="0"/>
              <a:ea typeface="+mn-ea"/>
              <a:cs typeface="Arial" pitchFamily="34" charset="0"/>
            </a:rPr>
            <a:t>Expenses incurred for  organising receptions, formal occasions, conferences, convention parties to encourage emulation in production, and to increase production capacity, and/or  year-end parties to commend and reward; and</a:t>
          </a:r>
        </a:p>
        <a:p>
          <a:pPr algn="l"/>
          <a:r>
            <a:rPr lang="en-US" sz="1000" baseline="0">
              <a:solidFill>
                <a:schemeClr val="bg1"/>
              </a:solidFill>
              <a:latin typeface="Arial" pitchFamily="34" charset="0"/>
              <a:cs typeface="Arial" pitchFamily="34" charset="0"/>
            </a:rPr>
            <a:t>(iii) Expenses for complimentary newspapers by press agencies which directly related to production or business.</a:t>
          </a:r>
        </a:p>
        <a:p>
          <a:pPr algn="l"/>
          <a:endParaRPr lang="en-US" sz="1000" baseline="0">
            <a:solidFill>
              <a:schemeClr val="bg1"/>
            </a:solidFill>
            <a:latin typeface="Arial" pitchFamily="34" charset="0"/>
            <a:cs typeface="Arial" pitchFamily="34" charset="0"/>
          </a:endParaRPr>
        </a:p>
        <a:p>
          <a:pPr algn="l"/>
          <a:r>
            <a:rPr lang="en-US" sz="1000" b="1" baseline="0">
              <a:solidFill>
                <a:schemeClr val="bg1"/>
              </a:solidFill>
              <a:latin typeface="Arial" pitchFamily="34" charset="0"/>
              <a:cs typeface="Arial" pitchFamily="34" charset="0"/>
            </a:rPr>
            <a:t>The following A&amp;P expenses are NOT subject to the above cap:</a:t>
          </a:r>
        </a:p>
        <a:p>
          <a:pPr algn="l"/>
          <a:r>
            <a:rPr lang="en-US" sz="1000" baseline="0">
              <a:solidFill>
                <a:schemeClr val="bg1"/>
              </a:solidFill>
              <a:latin typeface="Arial" pitchFamily="34" charset="0"/>
              <a:cs typeface="Arial" pitchFamily="34" charset="0"/>
            </a:rPr>
            <a:t>(i)  Commission payable to sales agents selling goods at the price designated by the principal;</a:t>
          </a:r>
        </a:p>
        <a:p>
          <a:pPr algn="l"/>
          <a:r>
            <a:rPr lang="en-US" sz="1000" baseline="0">
              <a:solidFill>
                <a:srgbClr val="FFC000"/>
              </a:solidFill>
              <a:latin typeface="Arial" pitchFamily="34" charset="0"/>
              <a:cs typeface="Arial" pitchFamily="34" charset="0"/>
            </a:rPr>
            <a:t>(</a:t>
          </a:r>
          <a:r>
            <a:rPr lang="en-US" sz="1000" baseline="0">
              <a:solidFill>
                <a:srgbClr val="FFC000"/>
              </a:solidFill>
              <a:latin typeface="Arial" pitchFamily="34" charset="0"/>
              <a:ea typeface="+mn-ea"/>
              <a:cs typeface="Arial" pitchFamily="34" charset="0"/>
            </a:rPr>
            <a:t>ii) Commission paid to distributors of the multi-level marketing companies; </a:t>
          </a:r>
        </a:p>
        <a:p>
          <a:pPr algn="l"/>
          <a:r>
            <a:rPr lang="en-US" sz="1000" baseline="0">
              <a:solidFill>
                <a:schemeClr val="bg1"/>
              </a:solidFill>
              <a:latin typeface="Arial" pitchFamily="34" charset="0"/>
              <a:cs typeface="Arial" pitchFamily="34" charset="0"/>
            </a:rPr>
            <a:t>(</a:t>
          </a:r>
          <a:r>
            <a:rPr lang="en-US" sz="1000" baseline="0">
              <a:solidFill>
                <a:schemeClr val="bg1"/>
              </a:solidFill>
              <a:latin typeface="Arial" pitchFamily="34" charset="0"/>
              <a:ea typeface="+mn-ea"/>
              <a:cs typeface="Arial" pitchFamily="34" charset="0"/>
            </a:rPr>
            <a:t>iii) Expenses incurred for market research; and</a:t>
          </a:r>
        </a:p>
        <a:p>
          <a:pPr algn="l"/>
          <a:r>
            <a:rPr lang="en-US" sz="1000" baseline="0">
              <a:solidFill>
                <a:schemeClr val="bg1"/>
              </a:solidFill>
              <a:latin typeface="Arial" pitchFamily="34" charset="0"/>
              <a:cs typeface="Arial" pitchFamily="34" charset="0"/>
            </a:rPr>
            <a:t>(iv) Expenses incurred for goods display and exhibition.</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57150</xdr:colOff>
      <xdr:row>37</xdr:row>
      <xdr:rowOff>0</xdr:rowOff>
    </xdr:from>
    <xdr:to>
      <xdr:col>7</xdr:col>
      <xdr:colOff>247650</xdr:colOff>
      <xdr:row>37</xdr:row>
      <xdr:rowOff>0</xdr:rowOff>
    </xdr:to>
    <xdr:sp macro="" textlink="">
      <xdr:nvSpPr>
        <xdr:cNvPr id="2" name="Text Box 1"/>
        <xdr:cNvSpPr txBox="1">
          <a:spLocks noChangeArrowheads="1"/>
        </xdr:cNvSpPr>
      </xdr:nvSpPr>
      <xdr:spPr bwMode="auto">
        <a:xfrm>
          <a:off x="57150" y="5905500"/>
          <a:ext cx="3848100" cy="0"/>
        </a:xfrm>
        <a:prstGeom prst="rect">
          <a:avLst/>
        </a:prstGeom>
        <a:noFill/>
        <a:ln w="9525">
          <a:noFill/>
          <a:miter lim="800000"/>
          <a:headEnd/>
          <a:tailEnd/>
        </a:ln>
      </xdr:spPr>
      <xdr:txBody>
        <a:bodyPr vertOverflow="clip" wrap="square" lIns="27432" tIns="22860" rIns="0" bIns="0" anchor="t" upright="1"/>
        <a:lstStyle/>
        <a:p>
          <a:pPr algn="l" rtl="0">
            <a:defRPr sz="1000"/>
          </a:pPr>
          <a:r>
            <a:rPr lang="en-US" sz="800" b="0" i="0" u="none" strike="noStrike" baseline="0">
              <a:solidFill>
                <a:srgbClr val="000000"/>
              </a:solidFill>
              <a:latin typeface="Arial"/>
              <a:cs typeface="Arial"/>
            </a:rPr>
            <a:t>• Obtain the Company's tax audit minutes of the previous years (if available) to understand if there were any adjustments to this item and what item were subject to adjustments.</a:t>
          </a:r>
        </a:p>
        <a:p>
          <a:pPr algn="l" rtl="0">
            <a:defRPr sz="1000"/>
          </a:pPr>
          <a:r>
            <a:rPr lang="en-US" sz="800" b="0" i="0" u="none" strike="noStrike" baseline="0">
              <a:solidFill>
                <a:srgbClr val="000000"/>
              </a:solidFill>
              <a:latin typeface="Arial"/>
              <a:cs typeface="Arial"/>
            </a:rPr>
            <a:t>• Obtain the Company's trial balances and general ledger of randomly selected expense accounts</a:t>
          </a:r>
        </a:p>
        <a:p>
          <a:pPr algn="l" rtl="0">
            <a:defRPr sz="1000"/>
          </a:pPr>
          <a:r>
            <a:rPr lang="en-US" sz="800" b="0" i="0" u="none" strike="noStrike" baseline="0">
              <a:solidFill>
                <a:srgbClr val="000000"/>
              </a:solidFill>
              <a:latin typeface="Arial"/>
              <a:cs typeface="Arial"/>
            </a:rPr>
            <a:t>• Perform a sample review of supporting invoices of the Company's expenses and ensure that all the reviewed invoices are "legitimate" for CIT deduction purposes (e.g. a purchase of VND100,000 or more must be supported by a VAT invoices including all the statutory information).</a:t>
          </a:r>
        </a:p>
        <a:p>
          <a:pPr algn="l" rtl="0">
            <a:defRPr sz="1000"/>
          </a:pPr>
          <a:endParaRPr lang="en-US" sz="800" b="0" i="0" u="none" strike="noStrike" baseline="0">
            <a:solidFill>
              <a:srgbClr val="000000"/>
            </a:solidFill>
            <a:latin typeface="Arial"/>
            <a:cs typeface="Arial"/>
          </a:endParaRPr>
        </a:p>
        <a:p>
          <a:pPr algn="l" rtl="0">
            <a:defRPr sz="1000"/>
          </a:pPr>
          <a:endParaRPr lang="en-US" sz="800" b="0" i="0" u="none" strike="noStrike" baseline="0">
            <a:solidFill>
              <a:srgbClr val="000000"/>
            </a:solidFill>
            <a:latin typeface="Arial"/>
            <a:cs typeface="Arial"/>
          </a:endParaRPr>
        </a:p>
        <a:p>
          <a:pPr algn="l" rtl="0">
            <a:defRPr sz="1000"/>
          </a:pPr>
          <a:endParaRPr lang="en-US" sz="800" b="0" i="0" u="none" strike="noStrike" baseline="0">
            <a:solidFill>
              <a:srgbClr val="000000"/>
            </a:solidFill>
            <a:latin typeface="Arial"/>
            <a:cs typeface="Arial"/>
          </a:endParaRPr>
        </a:p>
        <a:p>
          <a:pPr algn="l" rtl="0">
            <a:defRPr sz="1000"/>
          </a:pPr>
          <a:endParaRPr lang="en-US" sz="800" b="0" i="0" u="none" strike="noStrike" baseline="0">
            <a:solidFill>
              <a:srgbClr val="000000"/>
            </a:solidFill>
            <a:latin typeface="Arial"/>
            <a:cs typeface="Arial"/>
          </a:endParaRPr>
        </a:p>
      </xdr:txBody>
    </xdr:sp>
    <xdr:clientData/>
  </xdr:twoCellAnchor>
  <xdr:twoCellAnchor>
    <xdr:from>
      <xdr:col>0</xdr:col>
      <xdr:colOff>85725</xdr:colOff>
      <xdr:row>37</xdr:row>
      <xdr:rowOff>0</xdr:rowOff>
    </xdr:from>
    <xdr:to>
      <xdr:col>7</xdr:col>
      <xdr:colOff>276225</xdr:colOff>
      <xdr:row>37</xdr:row>
      <xdr:rowOff>0</xdr:rowOff>
    </xdr:to>
    <xdr:sp macro="" textlink="">
      <xdr:nvSpPr>
        <xdr:cNvPr id="3" name="Text Box 2"/>
        <xdr:cNvSpPr txBox="1">
          <a:spLocks noChangeArrowheads="1"/>
        </xdr:cNvSpPr>
      </xdr:nvSpPr>
      <xdr:spPr bwMode="auto">
        <a:xfrm>
          <a:off x="85725" y="5905500"/>
          <a:ext cx="3848100" cy="0"/>
        </a:xfrm>
        <a:prstGeom prst="rect">
          <a:avLst/>
        </a:prstGeom>
        <a:noFill/>
        <a:ln w="9525">
          <a:noFill/>
          <a:miter lim="800000"/>
          <a:headEnd/>
          <a:tailEnd/>
        </a:ln>
      </xdr:spPr>
      <xdr:txBody>
        <a:bodyPr vertOverflow="clip" wrap="square" lIns="27432" tIns="22860" rIns="0" bIns="0" anchor="t" upright="1"/>
        <a:lstStyle/>
        <a:p>
          <a:pPr algn="l" rtl="0">
            <a:defRPr sz="1000"/>
          </a:pPr>
          <a:r>
            <a:rPr lang="en-US" sz="800" b="0" i="0" u="none" strike="noStrike" baseline="0">
              <a:solidFill>
                <a:srgbClr val="000000"/>
              </a:solidFill>
              <a:latin typeface="Arial"/>
              <a:cs typeface="Arial"/>
            </a:rPr>
            <a:t>• Obtain the list of auditor’s adjustments regarding revenue (if any).</a:t>
          </a:r>
        </a:p>
        <a:p>
          <a:pPr algn="l" rtl="0">
            <a:defRPr sz="1000"/>
          </a:pPr>
          <a:r>
            <a:rPr lang="en-US" sz="800" b="0" i="0" u="none" strike="noStrike" baseline="0">
              <a:solidFill>
                <a:srgbClr val="000000"/>
              </a:solidFill>
              <a:latin typeface="Arial"/>
              <a:cs typeface="Arial"/>
            </a:rPr>
            <a:t>• Reconciliation between revenue in P/L with accumulated revenue declared in monthly declaration.</a:t>
          </a:r>
        </a:p>
        <a:p>
          <a:pPr algn="l" rtl="0">
            <a:defRPr sz="1000"/>
          </a:pPr>
          <a:r>
            <a:rPr lang="en-US" sz="800" b="0" i="0" u="none" strike="noStrike" baseline="0">
              <a:solidFill>
                <a:srgbClr val="000000"/>
              </a:solidFill>
              <a:latin typeface="Arial"/>
              <a:cs typeface="Arial"/>
            </a:rPr>
            <a:t>• Points to consider:</a:t>
          </a:r>
        </a:p>
        <a:p>
          <a:pPr algn="l" rtl="0">
            <a:defRPr sz="1000"/>
          </a:pPr>
          <a:r>
            <a:rPr lang="en-US" sz="800" b="0" i="0" u="none" strike="noStrike" baseline="0">
              <a:solidFill>
                <a:srgbClr val="000000"/>
              </a:solidFill>
              <a:latin typeface="Arial"/>
              <a:cs typeface="Arial"/>
            </a:rPr>
            <a:t>- Sales recognition: Does the Company recognise its sales in accordance with the current CIT regulations? If not, an appropriate adjustment is required.</a:t>
          </a:r>
        </a:p>
        <a:p>
          <a:pPr algn="l" rtl="0">
            <a:defRPr sz="1000"/>
          </a:pPr>
          <a:r>
            <a:rPr lang="en-US" sz="800" b="0" i="0" u="none" strike="noStrike" baseline="0">
              <a:solidFill>
                <a:srgbClr val="000000"/>
              </a:solidFill>
              <a:latin typeface="Arial"/>
              <a:cs typeface="Arial"/>
            </a:rPr>
            <a:t>- Sales offset: Does the Company directly offset its Receivables against its Payables without recording to its revenue in the P/L accounts? If yes, an appropriate adjustment is required.</a:t>
          </a:r>
        </a:p>
        <a:p>
          <a:pPr algn="l" rtl="0">
            <a:defRPr sz="1000"/>
          </a:pPr>
          <a:r>
            <a:rPr lang="en-US" sz="800" b="0" i="0" u="none" strike="noStrike" baseline="0">
              <a:solidFill>
                <a:srgbClr val="000000"/>
              </a:solidFill>
              <a:latin typeface="Arial"/>
              <a:cs typeface="Arial"/>
            </a:rPr>
            <a:t>- Sales reduction: Does the Company maintain appropriate supporting documents for its sales discounts, sales allowance, and/or goods returned? If not, an appropriate adjustment is required.</a:t>
          </a:r>
        </a:p>
        <a:p>
          <a:pPr algn="l" rtl="0">
            <a:defRPr sz="1000"/>
          </a:pPr>
          <a:r>
            <a:rPr lang="en-US" sz="800" b="0" i="0" u="none" strike="noStrike" baseline="0">
              <a:solidFill>
                <a:srgbClr val="000000"/>
              </a:solidFill>
              <a:latin typeface="Arial"/>
              <a:cs typeface="Arial"/>
            </a:rPr>
            <a:t>- Other sales activities: Does the Company record have internal consumption or give gifts/presents to its employees and/or other third party, or sell goods and/or services on a deferred payment basis? Is the Company's sales recognised in accordance with the CIT regulations?  If not, an appropriate adjustment is required.</a:t>
          </a:r>
        </a:p>
      </xdr:txBody>
    </xdr:sp>
    <xdr:clientData/>
  </xdr:twoCellAnchor>
  <xdr:twoCellAnchor>
    <xdr:from>
      <xdr:col>0</xdr:col>
      <xdr:colOff>228599</xdr:colOff>
      <xdr:row>8</xdr:row>
      <xdr:rowOff>1</xdr:rowOff>
    </xdr:from>
    <xdr:to>
      <xdr:col>8</xdr:col>
      <xdr:colOff>381000</xdr:colOff>
      <xdr:row>14</xdr:row>
      <xdr:rowOff>66675</xdr:rowOff>
    </xdr:to>
    <xdr:sp macro="" textlink="">
      <xdr:nvSpPr>
        <xdr:cNvPr id="4" name="Round Diagonal Corner Rectangle 3"/>
        <xdr:cNvSpPr/>
      </xdr:nvSpPr>
      <xdr:spPr>
        <a:xfrm>
          <a:off x="228599" y="1638301"/>
          <a:ext cx="7134226" cy="1247774"/>
        </a:xfrm>
        <a:prstGeom prst="round2Diag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l"/>
          <a:r>
            <a:rPr lang="en-US" sz="1000">
              <a:solidFill>
                <a:schemeClr val="bg1"/>
              </a:solidFill>
              <a:latin typeface="Arial" pitchFamily="34" charset="0"/>
              <a:cs typeface="Arial" pitchFamily="34" charset="0"/>
            </a:rPr>
            <a:t>Foreign tax payments</a:t>
          </a:r>
          <a:r>
            <a:rPr lang="en-US" sz="1000" baseline="0">
              <a:solidFill>
                <a:schemeClr val="bg1"/>
              </a:solidFill>
              <a:latin typeface="Arial" pitchFamily="34" charset="0"/>
              <a:cs typeface="Arial" pitchFamily="34" charset="0"/>
            </a:rPr>
            <a:t> made </a:t>
          </a:r>
          <a:r>
            <a:rPr lang="en-US" sz="1000">
              <a:solidFill>
                <a:schemeClr val="bg1"/>
              </a:solidFill>
              <a:latin typeface="Arial" pitchFamily="34" charset="0"/>
              <a:cs typeface="Arial" pitchFamily="34" charset="0"/>
            </a:rPr>
            <a:t>by a business entity in relation to its offshore income will become its foreign tax credits and be offset against its tax payable in Vietnam</a:t>
          </a:r>
          <a:r>
            <a:rPr lang="en-US" sz="1000" baseline="0">
              <a:solidFill>
                <a:schemeClr val="bg1"/>
              </a:solidFill>
              <a:latin typeface="Arial" pitchFamily="34" charset="0"/>
              <a:cs typeface="Arial" pitchFamily="34" charset="0"/>
            </a:rPr>
            <a:t> provided that the offshore income is included into the entity's taxable income for Vietnam tax declaration purposes</a:t>
          </a:r>
          <a:r>
            <a:rPr lang="en-US" sz="1000">
              <a:solidFill>
                <a:schemeClr val="bg1"/>
              </a:solidFill>
              <a:latin typeface="Arial" pitchFamily="34" charset="0"/>
              <a:cs typeface="Arial" pitchFamily="34" charset="0"/>
            </a:rPr>
            <a:t>.   Therefore, to</a:t>
          </a:r>
          <a:r>
            <a:rPr lang="en-US" sz="1000" baseline="0">
              <a:solidFill>
                <a:schemeClr val="bg1"/>
              </a:solidFill>
              <a:latin typeface="Arial" pitchFamily="34" charset="0"/>
              <a:cs typeface="Arial" pitchFamily="34" charset="0"/>
            </a:rPr>
            <a:t> claim the foreign tax payment, the entity should include its gross offshore income for CIT purposes</a:t>
          </a:r>
          <a:r>
            <a:rPr lang="en-US" sz="1000" baseline="0">
              <a:latin typeface="Arial" pitchFamily="34" charset="0"/>
              <a:cs typeface="Arial" pitchFamily="34" charset="0"/>
            </a:rPr>
            <a:t>.</a:t>
          </a:r>
        </a:p>
        <a:p>
          <a:pPr algn="l"/>
          <a:endParaRPr lang="en-US" sz="1000">
            <a:latin typeface="Arial" pitchFamily="34" charset="0"/>
            <a:cs typeface="Arial" pitchFamily="34" charset="0"/>
          </a:endParaRPr>
        </a:p>
        <a:p>
          <a:pPr algn="l"/>
          <a:r>
            <a:rPr lang="en-US" sz="1000">
              <a:latin typeface="Arial" pitchFamily="34" charset="0"/>
              <a:cs typeface="Arial" pitchFamily="34" charset="0"/>
            </a:rPr>
            <a:t>Foreign tax credits must be supported by legitimate receipts and</a:t>
          </a:r>
          <a:r>
            <a:rPr lang="en-US" sz="1000" baseline="0">
              <a:latin typeface="Arial" pitchFamily="34" charset="0"/>
              <a:cs typeface="Arial" pitchFamily="34" charset="0"/>
            </a:rPr>
            <a:t> </a:t>
          </a:r>
          <a:r>
            <a:rPr lang="en-US" sz="1000">
              <a:latin typeface="Arial" pitchFamily="34" charset="0"/>
              <a:cs typeface="Arial" pitchFamily="34" charset="0"/>
            </a:rPr>
            <a:t>supporting documents as stipulated under </a:t>
          </a:r>
          <a:r>
            <a:rPr lang="en-US" sz="1000">
              <a:solidFill>
                <a:srgbClr val="FFC000"/>
              </a:solidFill>
              <a:latin typeface="Arial" pitchFamily="34" charset="0"/>
              <a:cs typeface="Arial" pitchFamily="34" charset="0"/>
            </a:rPr>
            <a:t>Point 21,</a:t>
          </a:r>
          <a:r>
            <a:rPr lang="en-US" sz="1000" baseline="0">
              <a:solidFill>
                <a:srgbClr val="FFC000"/>
              </a:solidFill>
              <a:latin typeface="Arial" pitchFamily="34" charset="0"/>
              <a:cs typeface="Arial" pitchFamily="34" charset="0"/>
            </a:rPr>
            <a:t> Article 7, Circular 123</a:t>
          </a:r>
          <a:r>
            <a:rPr lang="en-US" sz="1000">
              <a:solidFill>
                <a:srgbClr val="FFC000"/>
              </a:solidFill>
              <a:latin typeface="Arial" pitchFamily="34" charset="0"/>
              <a:cs typeface="Arial" pitchFamily="34" charset="0"/>
            </a:rPr>
            <a:t>.</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1</xdr:col>
      <xdr:colOff>9526</xdr:colOff>
      <xdr:row>7</xdr:row>
      <xdr:rowOff>190499</xdr:rowOff>
    </xdr:from>
    <xdr:to>
      <xdr:col>5</xdr:col>
      <xdr:colOff>361950</xdr:colOff>
      <xdr:row>19</xdr:row>
      <xdr:rowOff>19050</xdr:rowOff>
    </xdr:to>
    <xdr:sp macro="" textlink="">
      <xdr:nvSpPr>
        <xdr:cNvPr id="2" name="Round Diagonal Corner Rectangle 1"/>
        <xdr:cNvSpPr/>
      </xdr:nvSpPr>
      <xdr:spPr>
        <a:xfrm>
          <a:off x="257176" y="1628774"/>
          <a:ext cx="7191374" cy="2114551"/>
        </a:xfrm>
        <a:prstGeom prst="round2Diag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l"/>
          <a:r>
            <a:rPr lang="en-US" sz="1000" baseline="0">
              <a:solidFill>
                <a:schemeClr val="lt1"/>
              </a:solidFill>
              <a:latin typeface="Arial" pitchFamily="34" charset="0"/>
              <a:ea typeface="+mn-ea"/>
              <a:cs typeface="Arial" pitchFamily="34" charset="0"/>
            </a:rPr>
            <a:t>Non-deductible expenses which cannot be included into Items B4 of the tax return will then be included </a:t>
          </a:r>
          <a:r>
            <a:rPr lang="en-US" sz="1000" baseline="0">
              <a:solidFill>
                <a:schemeClr val="bg1"/>
              </a:solidFill>
              <a:latin typeface="Arial" pitchFamily="34" charset="0"/>
              <a:ea typeface="+mn-ea"/>
              <a:cs typeface="Arial" pitchFamily="34" charset="0"/>
            </a:rPr>
            <a:t>into Item B6.  </a:t>
          </a:r>
          <a:r>
            <a:rPr lang="en-US" sz="1000" baseline="0">
              <a:solidFill>
                <a:schemeClr val="lt1"/>
              </a:solidFill>
              <a:latin typeface="Arial" pitchFamily="34" charset="0"/>
              <a:ea typeface="+mn-ea"/>
              <a:cs typeface="Arial" pitchFamily="34" charset="0"/>
            </a:rPr>
            <a:t>This item will cover, but not limited to, the following non-deductible expense items:</a:t>
          </a:r>
        </a:p>
        <a:p>
          <a:pPr algn="l"/>
          <a:r>
            <a:rPr lang="en-US" sz="1000" baseline="0">
              <a:solidFill>
                <a:schemeClr val="lt1"/>
              </a:solidFill>
              <a:latin typeface="Arial" pitchFamily="34" charset="0"/>
              <a:ea typeface="+mn-ea"/>
              <a:cs typeface="Arial" pitchFamily="34" charset="0"/>
            </a:rPr>
            <a:t>-  Costs of materials and/or goods which are destroyed, damaged or lost  </a:t>
          </a:r>
          <a:r>
            <a:rPr lang="en-US" sz="1000" baseline="0">
              <a:solidFill>
                <a:srgbClr val="FFC000"/>
              </a:solidFill>
              <a:latin typeface="Arial" pitchFamily="34" charset="0"/>
              <a:ea typeface="+mn-ea"/>
              <a:cs typeface="Arial" pitchFamily="34" charset="0"/>
            </a:rPr>
            <a:t>due to </a:t>
          </a:r>
          <a:r>
            <a:rPr lang="en-US" sz="1000" baseline="0" smtClean="0">
              <a:solidFill>
                <a:srgbClr val="FFC000"/>
              </a:solidFill>
              <a:latin typeface="Arial" pitchFamily="34" charset="0"/>
              <a:ea typeface="+mn-ea"/>
              <a:cs typeface="Arial" pitchFamily="34" charset="0"/>
            </a:rPr>
            <a:t>a natural disaster, epidemic or other event of force majeure</a:t>
          </a:r>
          <a:r>
            <a:rPr lang="en-US" sz="1100" baseline="0" smtClean="0">
              <a:solidFill>
                <a:srgbClr val="FFC000"/>
              </a:solidFill>
              <a:latin typeface="+mn-lt"/>
              <a:ea typeface="+mn-ea"/>
              <a:cs typeface="+mn-cs"/>
            </a:rPr>
            <a:t> </a:t>
          </a:r>
          <a:r>
            <a:rPr lang="en-US" sz="1000" baseline="0">
              <a:solidFill>
                <a:srgbClr val="FFC000"/>
              </a:solidFill>
              <a:latin typeface="Arial" pitchFamily="34" charset="0"/>
              <a:ea typeface="+mn-ea"/>
              <a:cs typeface="Arial" pitchFamily="34" charset="0"/>
            </a:rPr>
            <a:t>without sufficient  supporting documentation (i.e. regulated under Item (b) Point 2.1, Article 6, Circular 123).</a:t>
          </a:r>
        </a:p>
        <a:p>
          <a:pPr algn="l"/>
          <a:r>
            <a:rPr lang="en-US" sz="1000" baseline="0">
              <a:solidFill>
                <a:srgbClr val="FFC000"/>
              </a:solidFill>
              <a:latin typeface="Arial" pitchFamily="34" charset="0"/>
              <a:ea typeface="+mn-ea"/>
              <a:cs typeface="Arial" pitchFamily="34" charset="0"/>
            </a:rPr>
            <a:t>-  </a:t>
          </a:r>
          <a:r>
            <a:rPr lang="en-US" sz="1000" baseline="0" smtClean="0">
              <a:solidFill>
                <a:srgbClr val="FFC000"/>
              </a:solidFill>
              <a:latin typeface="Arial" pitchFamily="34" charset="0"/>
              <a:ea typeface="+mn-ea"/>
              <a:cs typeface="Arial" pitchFamily="34" charset="0"/>
            </a:rPr>
            <a:t>Costs of materials and/or goods which are lost  without the reasons of a natural disaster, epidemic or other event of force majeure</a:t>
          </a:r>
          <a:r>
            <a:rPr lang="en-US" sz="1000" baseline="0">
              <a:solidFill>
                <a:srgbClr val="FFC000"/>
              </a:solidFill>
              <a:latin typeface="Arial" pitchFamily="34" charset="0"/>
              <a:ea typeface="+mn-ea"/>
              <a:cs typeface="Arial" pitchFamily="34" charset="0"/>
            </a:rPr>
            <a:t> </a:t>
          </a:r>
        </a:p>
        <a:p>
          <a:pPr algn="l"/>
          <a:r>
            <a:rPr lang="en-US" sz="1000" baseline="0">
              <a:solidFill>
                <a:schemeClr val="lt1"/>
              </a:solidFill>
              <a:latin typeface="Arial" pitchFamily="34" charset="0"/>
              <a:ea typeface="+mn-ea"/>
              <a:cs typeface="Arial" pitchFamily="34" charset="0"/>
            </a:rPr>
            <a:t>-  Uniform allowance and per-diem allowance which exceed statutory levels.</a:t>
          </a:r>
        </a:p>
        <a:p>
          <a:pPr algn="l"/>
          <a:r>
            <a:rPr lang="en-US" sz="1000" baseline="0">
              <a:solidFill>
                <a:schemeClr val="lt1"/>
              </a:solidFill>
              <a:latin typeface="Arial" pitchFamily="34" charset="0"/>
              <a:ea typeface="+mn-ea"/>
              <a:cs typeface="Arial" pitchFamily="34" charset="0"/>
            </a:rPr>
            <a:t>-  Non-deductible pre-establishment/pre-operating expenses which are allocated to P&amp;L of the current year.</a:t>
          </a:r>
        </a:p>
        <a:p>
          <a:pPr algn="l"/>
          <a:r>
            <a:rPr lang="en-US" sz="1000" baseline="0">
              <a:solidFill>
                <a:schemeClr val="lt1"/>
              </a:solidFill>
              <a:latin typeface="Arial" pitchFamily="34" charset="0"/>
              <a:ea typeface="+mn-ea"/>
              <a:cs typeface="Arial" pitchFamily="34" charset="0"/>
            </a:rPr>
            <a:t>-  Contribution of senior management funds, contribution into funds of organisations/associations that exceed the stipulated scheme of those organisations.</a:t>
          </a:r>
        </a:p>
        <a:p>
          <a:pPr algn="l"/>
          <a:r>
            <a:rPr lang="en-US" sz="1000" baseline="0">
              <a:solidFill>
                <a:srgbClr val="FFC000"/>
              </a:solidFill>
              <a:latin typeface="Arial" pitchFamily="34" charset="0"/>
              <a:ea typeface="+mn-ea"/>
              <a:cs typeface="Arial" pitchFamily="34" charset="0"/>
            </a:rPr>
            <a:t>-  Non-creditable input VAT of  purchased cars that have 9 seats or less which is charged to P/L</a:t>
          </a:r>
        </a:p>
        <a:p>
          <a:pPr algn="l"/>
          <a:endParaRPr lang="en-US" sz="1000" baseline="0">
            <a:latin typeface="Arial" pitchFamily="34" charset="0"/>
            <a:cs typeface="Arial" pitchFamily="34" charset="0"/>
          </a:endParaRP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1</xdr:col>
      <xdr:colOff>0</xdr:colOff>
      <xdr:row>8</xdr:row>
      <xdr:rowOff>1</xdr:rowOff>
    </xdr:from>
    <xdr:to>
      <xdr:col>5</xdr:col>
      <xdr:colOff>647699</xdr:colOff>
      <xdr:row>10</xdr:row>
      <xdr:rowOff>0</xdr:rowOff>
    </xdr:to>
    <xdr:sp macro="" textlink="">
      <xdr:nvSpPr>
        <xdr:cNvPr id="2" name="Round Diagonal Corner Rectangle 1"/>
        <xdr:cNvSpPr/>
      </xdr:nvSpPr>
      <xdr:spPr>
        <a:xfrm>
          <a:off x="400050" y="1600201"/>
          <a:ext cx="7515224" cy="342900"/>
        </a:xfrm>
        <a:prstGeom prst="round2Diag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l"/>
          <a:r>
            <a:rPr lang="vi-VN" sz="1000" baseline="0">
              <a:solidFill>
                <a:srgbClr val="FFC000"/>
              </a:solidFill>
              <a:latin typeface="Arial" pitchFamily="34" charset="0"/>
              <a:ea typeface="+mn-ea"/>
              <a:cs typeface="Arial" pitchFamily="34" charset="0"/>
            </a:rPr>
            <a:t>Uniform allowance provided to staff</a:t>
          </a:r>
          <a:r>
            <a:rPr lang="en-US" sz="1000" baseline="0">
              <a:solidFill>
                <a:srgbClr val="FFC000"/>
              </a:solidFill>
              <a:latin typeface="Arial" pitchFamily="34" charset="0"/>
              <a:ea typeface="+mn-ea"/>
              <a:cs typeface="Arial" pitchFamily="34" charset="0"/>
            </a:rPr>
            <a:t>s</a:t>
          </a:r>
          <a:r>
            <a:rPr lang="vi-VN" sz="1000" baseline="0">
              <a:solidFill>
                <a:srgbClr val="FFC000"/>
              </a:solidFill>
              <a:latin typeface="Arial" pitchFamily="34" charset="0"/>
              <a:ea typeface="+mn-ea"/>
              <a:cs typeface="Arial" pitchFamily="34" charset="0"/>
            </a:rPr>
            <a:t> </a:t>
          </a:r>
          <a:r>
            <a:rPr lang="en-US" sz="1000" baseline="0">
              <a:solidFill>
                <a:srgbClr val="FFC000"/>
              </a:solidFill>
              <a:latin typeface="Arial" pitchFamily="34" charset="0"/>
              <a:ea typeface="+mn-ea"/>
              <a:cs typeface="Arial" pitchFamily="34" charset="0"/>
            </a:rPr>
            <a:t>in excess of </a:t>
          </a:r>
          <a:r>
            <a:rPr lang="vi-VN" sz="1000" baseline="0">
              <a:solidFill>
                <a:srgbClr val="FFC000"/>
              </a:solidFill>
              <a:latin typeface="Arial" pitchFamily="34" charset="0"/>
              <a:ea typeface="+mn-ea"/>
              <a:cs typeface="Arial" pitchFamily="34" charset="0"/>
            </a:rPr>
            <a:t>VND</a:t>
          </a:r>
          <a:r>
            <a:rPr lang="en-US" sz="1000" baseline="0">
              <a:solidFill>
                <a:srgbClr val="FFC000"/>
              </a:solidFill>
              <a:latin typeface="Arial" pitchFamily="34" charset="0"/>
              <a:ea typeface="+mn-ea"/>
              <a:cs typeface="Arial" pitchFamily="34" charset="0"/>
            </a:rPr>
            <a:t>5 million</a:t>
          </a:r>
          <a:r>
            <a:rPr lang="vi-VN" sz="1000" baseline="0">
              <a:solidFill>
                <a:srgbClr val="FFC000"/>
              </a:solidFill>
              <a:latin typeface="Arial" pitchFamily="34" charset="0"/>
              <a:ea typeface="+mn-ea"/>
              <a:cs typeface="Arial" pitchFamily="34" charset="0"/>
            </a:rPr>
            <a:t> per annum</a:t>
          </a:r>
          <a:r>
            <a:rPr lang="en-US" sz="1000" baseline="0">
              <a:solidFill>
                <a:srgbClr val="FFC000"/>
              </a:solidFill>
              <a:latin typeface="Arial" pitchFamily="34" charset="0"/>
              <a:ea typeface="+mn-ea"/>
              <a:cs typeface="Arial" pitchFamily="34" charset="0"/>
            </a:rPr>
            <a:t> if provided in kind or cash will be non-deductible </a:t>
          </a:r>
          <a:r>
            <a:rPr lang="vi-VN" sz="1000" baseline="0">
              <a:solidFill>
                <a:srgbClr val="FFC000"/>
              </a:solidFill>
              <a:latin typeface="Arial" pitchFamily="34" charset="0"/>
              <a:ea typeface="+mn-ea"/>
              <a:cs typeface="Arial" pitchFamily="34" charset="0"/>
            </a:rPr>
            <a:t>.</a:t>
          </a:r>
          <a:endParaRPr lang="en-US" sz="1000" strike="noStrike" baseline="0">
            <a:solidFill>
              <a:srgbClr val="FFC000"/>
            </a:solidFill>
            <a:latin typeface="Arial" pitchFamily="34" charset="0"/>
            <a:cs typeface="Arial" pitchFamily="34" charset="0"/>
          </a:endParaRP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304801</xdr:colOff>
      <xdr:row>8</xdr:row>
      <xdr:rowOff>1</xdr:rowOff>
    </xdr:from>
    <xdr:to>
      <xdr:col>6</xdr:col>
      <xdr:colOff>400050</xdr:colOff>
      <xdr:row>22</xdr:row>
      <xdr:rowOff>133350</xdr:rowOff>
    </xdr:to>
    <xdr:sp macro="" textlink="">
      <xdr:nvSpPr>
        <xdr:cNvPr id="2" name="Round Diagonal Corner Rectangle 1"/>
        <xdr:cNvSpPr/>
      </xdr:nvSpPr>
      <xdr:spPr>
        <a:xfrm>
          <a:off x="304801" y="1600201"/>
          <a:ext cx="8315324" cy="2400299"/>
        </a:xfrm>
        <a:prstGeom prst="round2Diag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l"/>
          <a:r>
            <a:rPr lang="vi-VN" sz="1000" baseline="0">
              <a:latin typeface="Arial" pitchFamily="34" charset="0"/>
              <a:cs typeface="Arial" pitchFamily="34" charset="0"/>
            </a:rPr>
            <a:t>Payment of transportation allowance to staff making home leave trips which is not in accordance with the current labour regulations, and payment of </a:t>
          </a:r>
          <a:r>
            <a:rPr lang="en-US" sz="1000" baseline="0">
              <a:latin typeface="Arial" pitchFamily="34" charset="0"/>
              <a:cs typeface="Arial" pitchFamily="34" charset="0"/>
            </a:rPr>
            <a:t> per </a:t>
          </a:r>
          <a:r>
            <a:rPr lang="en-US" sz="1000" baseline="0">
              <a:solidFill>
                <a:schemeClr val="lt1"/>
              </a:solidFill>
              <a:latin typeface="Arial" pitchFamily="34" charset="0"/>
              <a:ea typeface="+mn-ea"/>
              <a:cs typeface="Arial" pitchFamily="34" charset="0"/>
            </a:rPr>
            <a:t>diem allowance</a:t>
          </a:r>
          <a:r>
            <a:rPr lang="vi-VN" sz="1000" baseline="0">
              <a:solidFill>
                <a:schemeClr val="lt1"/>
              </a:solidFill>
              <a:latin typeface="Arial" pitchFamily="34" charset="0"/>
              <a:ea typeface="+mn-ea"/>
              <a:cs typeface="Arial" pitchFamily="34" charset="0"/>
            </a:rPr>
            <a:t> (excluding transportation and accommodation fees) to staff making domestic and/or overseas business trips </a:t>
          </a:r>
          <a:r>
            <a:rPr lang="en-US" sz="1000" baseline="0">
              <a:solidFill>
                <a:schemeClr val="lt1"/>
              </a:solidFill>
              <a:latin typeface="Arial" pitchFamily="34" charset="0"/>
              <a:ea typeface="+mn-ea"/>
              <a:cs typeface="Arial" pitchFamily="34" charset="0"/>
            </a:rPr>
            <a:t>if the per-diem </a:t>
          </a:r>
          <a:r>
            <a:rPr lang="vi-VN" sz="1000" baseline="0">
              <a:solidFill>
                <a:schemeClr val="lt1"/>
              </a:solidFill>
              <a:latin typeface="Arial" pitchFamily="34" charset="0"/>
              <a:ea typeface="+mn-ea"/>
              <a:cs typeface="Arial" pitchFamily="34" charset="0"/>
            </a:rPr>
            <a:t>exceed</a:t>
          </a:r>
          <a:r>
            <a:rPr lang="en-US" sz="1000" baseline="0">
              <a:solidFill>
                <a:schemeClr val="lt1"/>
              </a:solidFill>
              <a:latin typeface="Arial" pitchFamily="34" charset="0"/>
              <a:ea typeface="+mn-ea"/>
              <a:cs typeface="Arial" pitchFamily="34" charset="0"/>
            </a:rPr>
            <a:t>s</a:t>
          </a:r>
          <a:r>
            <a:rPr lang="vi-VN" sz="1000" baseline="0">
              <a:solidFill>
                <a:schemeClr val="lt1"/>
              </a:solidFill>
              <a:latin typeface="Arial" pitchFamily="34" charset="0"/>
              <a:ea typeface="+mn-ea"/>
              <a:cs typeface="Arial" pitchFamily="34" charset="0"/>
            </a:rPr>
            <a:t> </a:t>
          </a:r>
          <a:r>
            <a:rPr lang="en-US" sz="1000" baseline="0">
              <a:solidFill>
                <a:schemeClr val="lt1"/>
              </a:solidFill>
              <a:latin typeface="Arial" pitchFamily="34" charset="0"/>
              <a:ea typeface="+mn-ea"/>
              <a:cs typeface="Arial" pitchFamily="34" charset="0"/>
            </a:rPr>
            <a:t>two (2) times of the </a:t>
          </a:r>
          <a:r>
            <a:rPr lang="vi-VN" sz="1000" baseline="0">
              <a:solidFill>
                <a:schemeClr val="lt1"/>
              </a:solidFill>
              <a:latin typeface="Arial" pitchFamily="34" charset="0"/>
              <a:ea typeface="+mn-ea"/>
              <a:cs typeface="Arial" pitchFamily="34" charset="0"/>
            </a:rPr>
            <a:t>statutory per diem allowance applicable to State officials will NOT be deductible for CIT </a:t>
          </a:r>
          <a:r>
            <a:rPr lang="en-US" sz="1000" baseline="0">
              <a:solidFill>
                <a:schemeClr val="lt1"/>
              </a:solidFill>
              <a:latin typeface="Arial" pitchFamily="34" charset="0"/>
              <a:ea typeface="+mn-ea"/>
              <a:cs typeface="Arial" pitchFamily="34" charset="0"/>
            </a:rPr>
            <a:t>.</a:t>
          </a:r>
        </a:p>
        <a:p>
          <a:pPr algn="l"/>
          <a:endParaRPr lang="en-US" sz="1000" baseline="0">
            <a:solidFill>
              <a:schemeClr val="lt1"/>
            </a:solidFill>
            <a:latin typeface="Arial" pitchFamily="34" charset="0"/>
            <a:ea typeface="+mn-ea"/>
            <a:cs typeface="Arial" pitchFamily="34" charset="0"/>
          </a:endParaRPr>
        </a:p>
        <a:p>
          <a:pPr algn="l"/>
          <a:r>
            <a:rPr lang="vi-VN" sz="1000" baseline="0">
              <a:solidFill>
                <a:schemeClr val="lt1"/>
              </a:solidFill>
              <a:latin typeface="Arial" pitchFamily="34" charset="0"/>
              <a:ea typeface="+mn-ea"/>
              <a:cs typeface="Arial" pitchFamily="34" charset="0"/>
            </a:rPr>
            <a:t>S</a:t>
          </a:r>
          <a:r>
            <a:rPr lang="en-US" sz="1000" baseline="0">
              <a:solidFill>
                <a:schemeClr val="lt1"/>
              </a:solidFill>
              <a:latin typeface="Arial" pitchFamily="34" charset="0"/>
              <a:ea typeface="+mn-ea"/>
              <a:cs typeface="Arial" pitchFamily="34" charset="0"/>
            </a:rPr>
            <a:t>tatutory </a:t>
          </a:r>
          <a:r>
            <a:rPr lang="vi-VN" sz="1000" baseline="0">
              <a:solidFill>
                <a:schemeClr val="lt1"/>
              </a:solidFill>
              <a:latin typeface="Arial" pitchFamily="34" charset="0"/>
              <a:ea typeface="+mn-ea"/>
              <a:cs typeface="Arial" pitchFamily="34" charset="0"/>
            </a:rPr>
            <a:t>per-diem allowance </a:t>
          </a:r>
          <a:r>
            <a:rPr lang="en-US" sz="1000" baseline="0">
              <a:solidFill>
                <a:schemeClr val="lt1"/>
              </a:solidFill>
              <a:latin typeface="Arial" pitchFamily="34" charset="0"/>
              <a:ea typeface="+mn-ea"/>
              <a:cs typeface="Arial" pitchFamily="34" charset="0"/>
            </a:rPr>
            <a:t>levels </a:t>
          </a:r>
          <a:r>
            <a:rPr lang="vi-VN" sz="1000" baseline="0">
              <a:solidFill>
                <a:schemeClr val="lt1"/>
              </a:solidFill>
              <a:latin typeface="Arial" pitchFamily="34" charset="0"/>
              <a:ea typeface="+mn-ea"/>
              <a:cs typeface="Arial" pitchFamily="34" charset="0"/>
            </a:rPr>
            <a:t>applicable to State officials when making domestic business travels are regulated in </a:t>
          </a:r>
          <a:r>
            <a:rPr lang="vi-VN" sz="1000" baseline="0" smtClean="0">
              <a:solidFill>
                <a:schemeClr val="lt1"/>
              </a:solidFill>
              <a:latin typeface="Arial" pitchFamily="34" charset="0"/>
              <a:ea typeface="+mn-ea"/>
              <a:cs typeface="Arial" pitchFamily="34" charset="0"/>
            </a:rPr>
            <a:t>Circular </a:t>
          </a:r>
          <a:r>
            <a:rPr lang="en-US" sz="1000" baseline="0" smtClean="0">
              <a:solidFill>
                <a:schemeClr val="lt1"/>
              </a:solidFill>
              <a:latin typeface="Arial" pitchFamily="34" charset="0"/>
              <a:ea typeface="+mn-ea"/>
              <a:cs typeface="Arial" pitchFamily="34" charset="0"/>
            </a:rPr>
            <a:t>97/201</a:t>
          </a:r>
          <a:r>
            <a:rPr lang="en-US" sz="1000" baseline="0">
              <a:solidFill>
                <a:schemeClr val="lt1"/>
              </a:solidFill>
              <a:latin typeface="Arial" pitchFamily="34" charset="0"/>
              <a:ea typeface="+mn-ea"/>
              <a:cs typeface="Arial" pitchFamily="34" charset="0"/>
            </a:rPr>
            <a:t>0</a:t>
          </a:r>
          <a:r>
            <a:rPr lang="en-US" sz="1000" baseline="0" smtClean="0">
              <a:solidFill>
                <a:schemeClr val="lt1"/>
              </a:solidFill>
              <a:latin typeface="Arial" pitchFamily="34" charset="0"/>
              <a:ea typeface="+mn-ea"/>
              <a:cs typeface="Arial" pitchFamily="34" charset="0"/>
            </a:rPr>
            <a:t>/TT-BTC</a:t>
          </a:r>
          <a:r>
            <a:rPr lang="vi-VN" sz="1000" baseline="0" smtClean="0">
              <a:solidFill>
                <a:schemeClr val="lt1"/>
              </a:solidFill>
              <a:latin typeface="Arial" pitchFamily="34" charset="0"/>
              <a:ea typeface="+mn-ea"/>
              <a:cs typeface="Arial" pitchFamily="34" charset="0"/>
            </a:rPr>
            <a:t> dated </a:t>
          </a:r>
          <a:r>
            <a:rPr lang="en-US" sz="1000" baseline="0" smtClean="0">
              <a:solidFill>
                <a:schemeClr val="lt1"/>
              </a:solidFill>
              <a:latin typeface="Arial" pitchFamily="34" charset="0"/>
              <a:ea typeface="+mn-ea"/>
              <a:cs typeface="Arial" pitchFamily="34" charset="0"/>
            </a:rPr>
            <a:t>6</a:t>
          </a:r>
          <a:r>
            <a:rPr lang="vi-VN" sz="1000" baseline="0" smtClean="0">
              <a:solidFill>
                <a:schemeClr val="lt1"/>
              </a:solidFill>
              <a:latin typeface="Arial" pitchFamily="34" charset="0"/>
              <a:ea typeface="+mn-ea"/>
              <a:cs typeface="Arial" pitchFamily="34" charset="0"/>
            </a:rPr>
            <a:t> July </a:t>
          </a:r>
          <a:r>
            <a:rPr lang="en-US" sz="1000" baseline="0" smtClean="0">
              <a:solidFill>
                <a:schemeClr val="lt1"/>
              </a:solidFill>
              <a:latin typeface="Arial" pitchFamily="34" charset="0"/>
              <a:ea typeface="+mn-ea"/>
              <a:cs typeface="Arial" pitchFamily="34" charset="0"/>
            </a:rPr>
            <a:t>2010</a:t>
          </a:r>
          <a:r>
            <a:rPr lang="vi-VN" sz="1000" baseline="0" smtClean="0">
              <a:solidFill>
                <a:schemeClr val="lt1"/>
              </a:solidFill>
              <a:latin typeface="Arial" pitchFamily="34" charset="0"/>
              <a:ea typeface="+mn-ea"/>
              <a:cs typeface="Arial" pitchFamily="34" charset="0"/>
            </a:rPr>
            <a:t> issued by the Ministry of Finance</a:t>
          </a:r>
          <a:r>
            <a:rPr lang="en-US" sz="1000" baseline="0" smtClean="0">
              <a:solidFill>
                <a:schemeClr val="lt1"/>
              </a:solidFill>
              <a:latin typeface="Arial" pitchFamily="34" charset="0"/>
              <a:ea typeface="+mn-ea"/>
              <a:cs typeface="Arial" pitchFamily="34" charset="0"/>
            </a:rPr>
            <a:t>.</a:t>
          </a:r>
        </a:p>
        <a:p>
          <a:pPr algn="l"/>
          <a:endParaRPr lang="en-US" sz="1000" baseline="0" smtClean="0">
            <a:solidFill>
              <a:schemeClr val="lt1"/>
            </a:solidFill>
            <a:latin typeface="Arial" pitchFamily="34" charset="0"/>
            <a:ea typeface="+mn-ea"/>
            <a:cs typeface="Arial" pitchFamily="34" charset="0"/>
          </a:endParaRPr>
        </a:p>
        <a:p>
          <a:r>
            <a:rPr lang="vi-VN" sz="1000" baseline="0">
              <a:solidFill>
                <a:schemeClr val="lt1"/>
              </a:solidFill>
              <a:latin typeface="Arial" pitchFamily="34" charset="0"/>
              <a:ea typeface="+mn-ea"/>
              <a:cs typeface="Arial" pitchFamily="34" charset="0"/>
            </a:rPr>
            <a:t>S</a:t>
          </a:r>
          <a:r>
            <a:rPr lang="en-US" sz="1000" baseline="0">
              <a:solidFill>
                <a:schemeClr val="lt1"/>
              </a:solidFill>
              <a:latin typeface="Arial" pitchFamily="34" charset="0"/>
              <a:ea typeface="+mn-ea"/>
              <a:cs typeface="Arial" pitchFamily="34" charset="0"/>
            </a:rPr>
            <a:t>tatutory </a:t>
          </a:r>
          <a:r>
            <a:rPr lang="vi-VN" sz="1000" baseline="0">
              <a:solidFill>
                <a:schemeClr val="lt1"/>
              </a:solidFill>
              <a:latin typeface="Arial" pitchFamily="34" charset="0"/>
              <a:ea typeface="+mn-ea"/>
              <a:cs typeface="Arial" pitchFamily="34" charset="0"/>
            </a:rPr>
            <a:t>per-diem allowance </a:t>
          </a:r>
          <a:r>
            <a:rPr lang="en-US" sz="1000" baseline="0">
              <a:solidFill>
                <a:schemeClr val="lt1"/>
              </a:solidFill>
              <a:latin typeface="Arial" pitchFamily="34" charset="0"/>
              <a:ea typeface="+mn-ea"/>
              <a:cs typeface="Arial" pitchFamily="34" charset="0"/>
            </a:rPr>
            <a:t>levels </a:t>
          </a:r>
          <a:r>
            <a:rPr lang="vi-VN" sz="1000" baseline="0">
              <a:solidFill>
                <a:schemeClr val="lt1"/>
              </a:solidFill>
              <a:latin typeface="Arial" pitchFamily="34" charset="0"/>
              <a:ea typeface="+mn-ea"/>
              <a:cs typeface="Arial" pitchFamily="34" charset="0"/>
            </a:rPr>
            <a:t>applicable to State officials when making </a:t>
          </a:r>
          <a:r>
            <a:rPr lang="en-US" sz="1000" baseline="0">
              <a:solidFill>
                <a:schemeClr val="lt1"/>
              </a:solidFill>
              <a:latin typeface="Arial" pitchFamily="34" charset="0"/>
              <a:ea typeface="+mn-ea"/>
              <a:cs typeface="Arial" pitchFamily="34" charset="0"/>
            </a:rPr>
            <a:t>overseas </a:t>
          </a:r>
          <a:r>
            <a:rPr lang="vi-VN" sz="1000" baseline="0">
              <a:solidFill>
                <a:schemeClr val="lt1"/>
              </a:solidFill>
              <a:latin typeface="Arial" pitchFamily="34" charset="0"/>
              <a:ea typeface="+mn-ea"/>
              <a:cs typeface="Arial" pitchFamily="34" charset="0"/>
            </a:rPr>
            <a:t>business travels are regulated </a:t>
          </a:r>
          <a:r>
            <a:rPr lang="vi-VN" sz="1000" baseline="0">
              <a:solidFill>
                <a:srgbClr val="FFC000"/>
              </a:solidFill>
              <a:latin typeface="Arial" pitchFamily="34" charset="0"/>
              <a:ea typeface="+mn-ea"/>
              <a:cs typeface="Arial" pitchFamily="34" charset="0"/>
            </a:rPr>
            <a:t>in Circular</a:t>
          </a:r>
          <a:r>
            <a:rPr lang="en-US" sz="1000" baseline="0">
              <a:solidFill>
                <a:srgbClr val="FFC000"/>
              </a:solidFill>
              <a:latin typeface="Arial" pitchFamily="34" charset="0"/>
              <a:ea typeface="+mn-ea"/>
              <a:cs typeface="Arial" pitchFamily="34" charset="0"/>
            </a:rPr>
            <a:t> 91/2005/TT-BTC dated 18 October 2005 (applicable for  period from 10 August 2012 backwards) and</a:t>
          </a:r>
          <a:r>
            <a:rPr lang="vi-VN" sz="1000" baseline="0">
              <a:solidFill>
                <a:srgbClr val="FFC000"/>
              </a:solidFill>
              <a:latin typeface="Arial" pitchFamily="34" charset="0"/>
              <a:ea typeface="+mn-ea"/>
              <a:cs typeface="Arial" pitchFamily="34" charset="0"/>
            </a:rPr>
            <a:t> </a:t>
          </a:r>
          <a:r>
            <a:rPr lang="en-US" sz="1000" baseline="0">
              <a:solidFill>
                <a:srgbClr val="FFC000"/>
              </a:solidFill>
              <a:latin typeface="Arial" pitchFamily="34" charset="0"/>
              <a:ea typeface="+mn-ea"/>
              <a:cs typeface="Arial" pitchFamily="34" charset="0"/>
            </a:rPr>
            <a:t>Circular 102/2012/TT-BTC dated 21 June 2012</a:t>
          </a:r>
          <a:r>
            <a:rPr lang="vi-VN" sz="1000" baseline="0">
              <a:solidFill>
                <a:srgbClr val="FFC000"/>
              </a:solidFill>
              <a:latin typeface="Arial" pitchFamily="34" charset="0"/>
              <a:ea typeface="+mn-ea"/>
              <a:cs typeface="Arial" pitchFamily="34" charset="0"/>
            </a:rPr>
            <a:t> issued by the Ministry of Finance</a:t>
          </a:r>
          <a:r>
            <a:rPr lang="en-US" sz="1000" baseline="0">
              <a:solidFill>
                <a:srgbClr val="FFC000"/>
              </a:solidFill>
              <a:latin typeface="Arial" pitchFamily="34" charset="0"/>
              <a:ea typeface="+mn-ea"/>
              <a:cs typeface="Arial" pitchFamily="34" charset="0"/>
            </a:rPr>
            <a:t> (applicable for period from 10 August 2012 onwards).</a:t>
          </a:r>
        </a:p>
        <a:p>
          <a:pPr algn="l"/>
          <a:endParaRPr lang="vi-VN" sz="1000" baseline="0" smtClean="0">
            <a:solidFill>
              <a:schemeClr val="lt1"/>
            </a:solidFill>
            <a:latin typeface="Arial" pitchFamily="34" charset="0"/>
            <a:ea typeface="+mn-ea"/>
            <a:cs typeface="Arial" pitchFamily="34" charset="0"/>
          </a:endParaRPr>
        </a:p>
        <a:p>
          <a:pPr algn="l"/>
          <a:r>
            <a:rPr lang="en-US" sz="1000" baseline="0">
              <a:solidFill>
                <a:schemeClr val="lt1"/>
              </a:solidFill>
              <a:latin typeface="Arial" pitchFamily="34" charset="0"/>
              <a:ea typeface="+mn-ea"/>
              <a:cs typeface="Arial" pitchFamily="34" charset="0"/>
            </a:rPr>
            <a:t>In addition, </a:t>
          </a:r>
          <a:r>
            <a:rPr lang="vi-VN" sz="1000" baseline="0">
              <a:solidFill>
                <a:schemeClr val="lt1"/>
              </a:solidFill>
              <a:latin typeface="Arial" pitchFamily="34" charset="0"/>
              <a:ea typeface="+mn-ea"/>
              <a:cs typeface="Arial" pitchFamily="34" charset="0"/>
            </a:rPr>
            <a:t>paymen</a:t>
          </a:r>
          <a:r>
            <a:rPr lang="en-US" sz="1000" baseline="0">
              <a:solidFill>
                <a:schemeClr val="lt1"/>
              </a:solidFill>
              <a:latin typeface="Arial" pitchFamily="34" charset="0"/>
              <a:ea typeface="+mn-ea"/>
              <a:cs typeface="Arial" pitchFamily="34" charset="0"/>
            </a:rPr>
            <a:t>t</a:t>
          </a:r>
          <a:r>
            <a:rPr lang="vi-VN" sz="1000" baseline="0">
              <a:solidFill>
                <a:schemeClr val="lt1"/>
              </a:solidFill>
              <a:latin typeface="Arial" pitchFamily="34" charset="0"/>
              <a:ea typeface="+mn-ea"/>
              <a:cs typeface="Arial" pitchFamily="34" charset="0"/>
            </a:rPr>
            <a:t> of transportation a</a:t>
          </a:r>
          <a:r>
            <a:rPr lang="en-US" sz="1000" baseline="0">
              <a:solidFill>
                <a:schemeClr val="lt1"/>
              </a:solidFill>
              <a:latin typeface="Arial" pitchFamily="34" charset="0"/>
              <a:ea typeface="+mn-ea"/>
              <a:cs typeface="Arial" pitchFamily="34" charset="0"/>
            </a:rPr>
            <a:t>llowance or per diem allowance must </a:t>
          </a:r>
          <a:r>
            <a:rPr lang="vi-VN" sz="1000" baseline="0">
              <a:solidFill>
                <a:schemeClr val="lt1"/>
              </a:solidFill>
              <a:latin typeface="Arial" pitchFamily="34" charset="0"/>
              <a:ea typeface="+mn-ea"/>
              <a:cs typeface="Arial" pitchFamily="34" charset="0"/>
            </a:rPr>
            <a:t>clearly stated in internal company policies, and supported by legitimate </a:t>
          </a:r>
          <a:r>
            <a:rPr lang="en-US" sz="1000" baseline="0">
              <a:solidFill>
                <a:schemeClr val="lt1"/>
              </a:solidFill>
              <a:latin typeface="Arial" pitchFamily="34" charset="0"/>
              <a:ea typeface="+mn-ea"/>
              <a:cs typeface="Arial" pitchFamily="34" charset="0"/>
            </a:rPr>
            <a:t>payment vouchers. </a:t>
          </a:r>
          <a:endParaRPr lang="en-US" sz="1000" baseline="0">
            <a:latin typeface="Arial" pitchFamily="34" charset="0"/>
            <a:cs typeface="Arial" pitchFamily="34" charset="0"/>
          </a:endParaRPr>
        </a:p>
        <a:p>
          <a:pPr algn="l"/>
          <a:r>
            <a:rPr lang="en-US" sz="1000" baseline="0">
              <a:latin typeface="Arial" pitchFamily="34" charset="0"/>
              <a:cs typeface="Arial" pitchFamily="34" charset="0"/>
            </a:rPr>
            <a:t> </a:t>
          </a: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1</xdr:col>
      <xdr:colOff>19049</xdr:colOff>
      <xdr:row>7</xdr:row>
      <xdr:rowOff>171450</xdr:rowOff>
    </xdr:from>
    <xdr:to>
      <xdr:col>7</xdr:col>
      <xdr:colOff>371475</xdr:colOff>
      <xdr:row>35</xdr:row>
      <xdr:rowOff>9525</xdr:rowOff>
    </xdr:to>
    <xdr:sp macro="" textlink="">
      <xdr:nvSpPr>
        <xdr:cNvPr id="2" name="Round Diagonal Corner Rectangle 1"/>
        <xdr:cNvSpPr/>
      </xdr:nvSpPr>
      <xdr:spPr>
        <a:xfrm>
          <a:off x="447674" y="1609725"/>
          <a:ext cx="6858001" cy="4791075"/>
        </a:xfrm>
        <a:prstGeom prst="round2Diag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r>
            <a:rPr lang="en-US" sz="1000" baseline="0">
              <a:solidFill>
                <a:schemeClr val="lt1"/>
              </a:solidFill>
              <a:latin typeface="Arial" pitchFamily="34" charset="0"/>
              <a:ea typeface="+mn-ea"/>
              <a:cs typeface="Arial" pitchFamily="34" charset="0"/>
            </a:rPr>
            <a:t>Under the current CIT regulations, some types of income is not taxable for CIT purposes, including but not limited to:</a:t>
          </a:r>
          <a:endParaRPr lang="en-US" sz="1000">
            <a:solidFill>
              <a:schemeClr val="lt1"/>
            </a:solidFill>
            <a:latin typeface="Arial" pitchFamily="34" charset="0"/>
            <a:ea typeface="+mn-ea"/>
            <a:cs typeface="Arial" pitchFamily="34" charset="0"/>
          </a:endParaRPr>
        </a:p>
        <a:p>
          <a:endParaRPr lang="en-US" sz="1000">
            <a:solidFill>
              <a:schemeClr val="lt1"/>
            </a:solidFill>
            <a:latin typeface="Arial" pitchFamily="34" charset="0"/>
            <a:ea typeface="+mn-ea"/>
            <a:cs typeface="Arial" pitchFamily="34" charset="0"/>
          </a:endParaRPr>
        </a:p>
        <a:p>
          <a:r>
            <a:rPr lang="en-US" sz="1200">
              <a:solidFill>
                <a:schemeClr val="lt1"/>
              </a:solidFill>
              <a:latin typeface="Arial" pitchFamily="34" charset="0"/>
              <a:ea typeface="+mn-ea"/>
              <a:cs typeface="Arial" pitchFamily="34" charset="0"/>
              <a:sym typeface="Wingdings"/>
            </a:rPr>
            <a:t></a:t>
          </a:r>
          <a:r>
            <a:rPr lang="en-US" sz="1100">
              <a:solidFill>
                <a:schemeClr val="lt1"/>
              </a:solidFill>
              <a:latin typeface="Arial" pitchFamily="34" charset="0"/>
              <a:ea typeface="+mn-ea"/>
              <a:cs typeface="Arial" pitchFamily="34" charset="0"/>
              <a:sym typeface="Wingdings"/>
            </a:rPr>
            <a:t> </a:t>
          </a:r>
          <a:r>
            <a:rPr lang="en-US" sz="1000">
              <a:solidFill>
                <a:schemeClr val="lt1"/>
              </a:solidFill>
              <a:latin typeface="Arial" pitchFamily="34" charset="0"/>
              <a:ea typeface="+mn-ea"/>
              <a:cs typeface="Arial" pitchFamily="34" charset="0"/>
            </a:rPr>
            <a:t>Income earned</a:t>
          </a:r>
          <a:r>
            <a:rPr lang="en-US" sz="1000" baseline="0">
              <a:solidFill>
                <a:schemeClr val="lt1"/>
              </a:solidFill>
              <a:latin typeface="Arial" pitchFamily="34" charset="0"/>
              <a:ea typeface="+mn-ea"/>
              <a:cs typeface="Arial" pitchFamily="34" charset="0"/>
            </a:rPr>
            <a:t> from products of cultivation, husbandry and aquaculture by organisations established under Law on Co-operatives;</a:t>
          </a:r>
          <a:endParaRPr lang="en-US" sz="1000">
            <a:solidFill>
              <a:schemeClr val="lt1"/>
            </a:solidFill>
            <a:latin typeface="Arial" pitchFamily="34" charset="0"/>
            <a:ea typeface="+mn-ea"/>
            <a:cs typeface="Arial" pitchFamily="34" charset="0"/>
          </a:endParaRPr>
        </a:p>
        <a:p>
          <a:endParaRPr lang="en-US" sz="1000">
            <a:solidFill>
              <a:schemeClr val="lt1"/>
            </a:solidFill>
            <a:latin typeface="Arial"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200">
              <a:solidFill>
                <a:schemeClr val="lt1"/>
              </a:solidFill>
              <a:latin typeface="+mn-lt"/>
              <a:ea typeface="+mn-ea"/>
              <a:cs typeface="+mn-cs"/>
              <a:sym typeface="Wingdings"/>
            </a:rPr>
            <a:t></a:t>
          </a:r>
          <a:r>
            <a:rPr lang="en-US" sz="1100">
              <a:solidFill>
                <a:schemeClr val="lt1"/>
              </a:solidFill>
              <a:latin typeface="+mn-lt"/>
              <a:ea typeface="+mn-ea"/>
              <a:cs typeface="+mn-cs"/>
              <a:sym typeface="Wingdings"/>
            </a:rPr>
            <a:t> </a:t>
          </a:r>
          <a:r>
            <a:rPr lang="en-US" sz="1000" baseline="0">
              <a:solidFill>
                <a:schemeClr val="lt1"/>
              </a:solidFill>
              <a:latin typeface="Arial" pitchFamily="34" charset="0"/>
              <a:ea typeface="+mn-ea"/>
              <a:cs typeface="Arial" pitchFamily="34" charset="0"/>
            </a:rPr>
            <a:t>Revenue derived from provision of technical services directly to the agriculture activities;</a:t>
          </a:r>
        </a:p>
        <a:p>
          <a:endParaRPr lang="en-US" sz="1000">
            <a:latin typeface="Arial" pitchFamily="34" charset="0"/>
            <a:cs typeface="Arial" pitchFamily="34" charset="0"/>
          </a:endParaRPr>
        </a:p>
        <a:p>
          <a:r>
            <a:rPr lang="en-US" sz="1200" baseline="0">
              <a:solidFill>
                <a:schemeClr val="lt1"/>
              </a:solidFill>
              <a:latin typeface="Arial" pitchFamily="34" charset="0"/>
              <a:ea typeface="+mn-ea"/>
              <a:cs typeface="Arial" pitchFamily="34" charset="0"/>
              <a:sym typeface="Wingdings"/>
            </a:rPr>
            <a:t></a:t>
          </a:r>
          <a:r>
            <a:rPr lang="en-US" sz="1100" baseline="0">
              <a:solidFill>
                <a:schemeClr val="lt1"/>
              </a:solidFill>
              <a:latin typeface="Arial" pitchFamily="34" charset="0"/>
              <a:ea typeface="+mn-ea"/>
              <a:cs typeface="Arial" pitchFamily="34" charset="0"/>
              <a:sym typeface="Wingdings"/>
            </a:rPr>
            <a:t> </a:t>
          </a:r>
          <a:r>
            <a:rPr lang="en-US" sz="1000" baseline="0">
              <a:solidFill>
                <a:schemeClr val="lt1"/>
              </a:solidFill>
              <a:latin typeface="Arial" pitchFamily="34" charset="0"/>
              <a:ea typeface="+mn-ea"/>
              <a:cs typeface="Arial" pitchFamily="34" charset="0"/>
            </a:rPr>
            <a:t>R</a:t>
          </a:r>
          <a:r>
            <a:rPr lang="en-US" sz="1000">
              <a:solidFill>
                <a:schemeClr val="lt1"/>
              </a:solidFill>
              <a:latin typeface="Arial" pitchFamily="34" charset="0"/>
              <a:ea typeface="+mn-ea"/>
              <a:cs typeface="Arial" pitchFamily="34" charset="0"/>
            </a:rPr>
            <a:t>evenue derived</a:t>
          </a:r>
          <a:r>
            <a:rPr lang="en-US" sz="1000" baseline="0">
              <a:solidFill>
                <a:schemeClr val="lt1"/>
              </a:solidFill>
              <a:latin typeface="Arial" pitchFamily="34" charset="0"/>
              <a:ea typeface="+mn-ea"/>
              <a:cs typeface="Arial" pitchFamily="34" charset="0"/>
            </a:rPr>
            <a:t> </a:t>
          </a:r>
          <a:r>
            <a:rPr lang="en-US" sz="1000">
              <a:solidFill>
                <a:schemeClr val="lt1"/>
              </a:solidFill>
              <a:latin typeface="Arial" pitchFamily="34" charset="0"/>
              <a:ea typeface="+mn-ea"/>
              <a:cs typeface="Arial" pitchFamily="34" charset="0"/>
            </a:rPr>
            <a:t>from (i)</a:t>
          </a:r>
          <a:r>
            <a:rPr lang="en-US" sz="1000" baseline="0">
              <a:solidFill>
                <a:schemeClr val="lt1"/>
              </a:solidFill>
              <a:latin typeface="Arial" pitchFamily="34" charset="0"/>
              <a:ea typeface="+mn-ea"/>
              <a:cs typeface="Arial" pitchFamily="34" charset="0"/>
            </a:rPr>
            <a:t> </a:t>
          </a:r>
          <a:r>
            <a:rPr lang="en-US" sz="1000">
              <a:solidFill>
                <a:schemeClr val="lt1"/>
              </a:solidFill>
              <a:latin typeface="Arial" pitchFamily="34" charset="0"/>
              <a:ea typeface="+mn-ea"/>
              <a:cs typeface="Arial" pitchFamily="34" charset="0"/>
            </a:rPr>
            <a:t>implementation of agreements on science research and technology development,</a:t>
          </a:r>
          <a:r>
            <a:rPr lang="en-US" sz="1000" baseline="0">
              <a:solidFill>
                <a:schemeClr val="lt1"/>
              </a:solidFill>
              <a:latin typeface="Arial" pitchFamily="34" charset="0"/>
              <a:ea typeface="+mn-ea"/>
              <a:cs typeface="Arial" pitchFamily="34" charset="0"/>
            </a:rPr>
            <a:t> </a:t>
          </a:r>
          <a:r>
            <a:rPr lang="en-US" sz="1000">
              <a:solidFill>
                <a:schemeClr val="lt1"/>
              </a:solidFill>
              <a:latin typeface="Arial" pitchFamily="34" charset="0"/>
              <a:ea typeface="+mn-ea"/>
              <a:cs typeface="Arial" pitchFamily="34" charset="0"/>
            </a:rPr>
            <a:t>(ii) from sales during trial production period, and (iii) sales of goods produced</a:t>
          </a:r>
          <a:r>
            <a:rPr lang="en-US" sz="1000" baseline="0">
              <a:solidFill>
                <a:schemeClr val="lt1"/>
              </a:solidFill>
              <a:latin typeface="Arial" pitchFamily="34" charset="0"/>
              <a:ea typeface="+mn-ea"/>
              <a:cs typeface="Arial" pitchFamily="34" charset="0"/>
            </a:rPr>
            <a:t> by new technology in Vietnam, including CERs (Certificate of Emission Reduction) transfer. The exemption period is one (1) year from the implemenation date for (i), or from the trial production date for (ii), or from the date applying the new technology for production for (iii)</a:t>
          </a:r>
          <a:endParaRPr lang="en-US" sz="1000">
            <a:solidFill>
              <a:schemeClr val="lt1"/>
            </a:solidFill>
            <a:latin typeface="Arial" pitchFamily="34" charset="0"/>
            <a:ea typeface="+mn-ea"/>
            <a:cs typeface="Arial" pitchFamily="34" charset="0"/>
          </a:endParaRPr>
        </a:p>
        <a:p>
          <a:endParaRPr lang="en-US" sz="1000">
            <a:solidFill>
              <a:schemeClr val="lt1"/>
            </a:solidFill>
            <a:latin typeface="Arial" pitchFamily="34" charset="0"/>
            <a:ea typeface="+mn-ea"/>
            <a:cs typeface="Arial" pitchFamily="34" charset="0"/>
          </a:endParaRPr>
        </a:p>
        <a:p>
          <a:r>
            <a:rPr lang="en-US" sz="1200" baseline="0">
              <a:solidFill>
                <a:schemeClr val="lt1"/>
              </a:solidFill>
              <a:latin typeface="Arial" pitchFamily="34" charset="0"/>
              <a:ea typeface="+mn-ea"/>
              <a:cs typeface="Arial" pitchFamily="34" charset="0"/>
              <a:sym typeface="Wingdings"/>
            </a:rPr>
            <a:t></a:t>
          </a:r>
          <a:r>
            <a:rPr lang="en-US" sz="1100" baseline="0">
              <a:solidFill>
                <a:schemeClr val="lt1"/>
              </a:solidFill>
              <a:latin typeface="Arial" pitchFamily="34" charset="0"/>
              <a:ea typeface="+mn-ea"/>
              <a:cs typeface="Arial" pitchFamily="34" charset="0"/>
              <a:sym typeface="Wingdings"/>
            </a:rPr>
            <a:t> </a:t>
          </a:r>
          <a:r>
            <a:rPr lang="en-US" sz="1000" baseline="0">
              <a:solidFill>
                <a:schemeClr val="lt1"/>
              </a:solidFill>
              <a:latin typeface="Arial" pitchFamily="34" charset="0"/>
              <a:ea typeface="+mn-ea"/>
              <a:cs typeface="Arial" pitchFamily="34" charset="0"/>
            </a:rPr>
            <a:t>R</a:t>
          </a:r>
          <a:r>
            <a:rPr lang="en-US" sz="1000">
              <a:solidFill>
                <a:schemeClr val="lt1"/>
              </a:solidFill>
              <a:latin typeface="Arial" pitchFamily="34" charset="0"/>
              <a:ea typeface="+mn-ea"/>
              <a:cs typeface="Arial" pitchFamily="34" charset="0"/>
            </a:rPr>
            <a:t>evenue derived by a business entity</a:t>
          </a:r>
          <a:r>
            <a:rPr lang="en-US" sz="1000" baseline="0">
              <a:solidFill>
                <a:schemeClr val="lt1"/>
              </a:solidFill>
              <a:latin typeface="Arial" pitchFamily="34" charset="0"/>
              <a:ea typeface="+mn-ea"/>
              <a:cs typeface="Arial" pitchFamily="34" charset="0"/>
            </a:rPr>
            <a:t> </a:t>
          </a:r>
          <a:r>
            <a:rPr lang="en-US" sz="1000">
              <a:solidFill>
                <a:schemeClr val="lt1"/>
              </a:solidFill>
              <a:latin typeface="Arial" pitchFamily="34" charset="0"/>
              <a:ea typeface="+mn-ea"/>
              <a:cs typeface="Arial" pitchFamily="34" charset="0"/>
            </a:rPr>
            <a:t>which has </a:t>
          </a:r>
          <a:r>
            <a:rPr lang="en-US" sz="1000" baseline="0" smtClean="0">
              <a:solidFill>
                <a:schemeClr val="lt1"/>
              </a:solidFill>
              <a:latin typeface="Arial" pitchFamily="34" charset="0"/>
              <a:ea typeface="+mn-ea"/>
              <a:cs typeface="Arial" pitchFamily="34" charset="0"/>
            </a:rPr>
            <a:t>an average percentage of fifty one (51) per cent or more of employees who are disabled, reformed due to drug addicts, and/or infected with HIV in relation to its business production activities;</a:t>
          </a:r>
        </a:p>
        <a:p>
          <a:endParaRPr lang="en-US" sz="1000">
            <a:solidFill>
              <a:schemeClr val="lt1"/>
            </a:solidFill>
            <a:latin typeface="Arial" pitchFamily="34" charset="0"/>
            <a:ea typeface="+mn-ea"/>
            <a:cs typeface="Arial" pitchFamily="34" charset="0"/>
          </a:endParaRPr>
        </a:p>
        <a:p>
          <a:r>
            <a:rPr lang="en-US" sz="1200" baseline="0">
              <a:solidFill>
                <a:schemeClr val="lt1"/>
              </a:solidFill>
              <a:latin typeface="Arial" pitchFamily="34" charset="0"/>
              <a:ea typeface="+mn-ea"/>
              <a:cs typeface="Arial" pitchFamily="34" charset="0"/>
              <a:sym typeface="Wingdings"/>
            </a:rPr>
            <a:t></a:t>
          </a:r>
          <a:r>
            <a:rPr lang="en-US" sz="1000" baseline="0">
              <a:solidFill>
                <a:schemeClr val="lt1"/>
              </a:solidFill>
              <a:latin typeface="Arial" pitchFamily="34" charset="0"/>
              <a:ea typeface="+mn-ea"/>
              <a:cs typeface="Arial" pitchFamily="34" charset="0"/>
              <a:sym typeface="Wingdings"/>
            </a:rPr>
            <a:t> </a:t>
          </a:r>
          <a:r>
            <a:rPr lang="en-US" sz="1000" baseline="0">
              <a:solidFill>
                <a:schemeClr val="lt1"/>
              </a:solidFill>
              <a:latin typeface="Arial" pitchFamily="34" charset="0"/>
              <a:ea typeface="+mn-ea"/>
              <a:cs typeface="Arial" pitchFamily="34" charset="0"/>
            </a:rPr>
            <a:t>Revenue derived from </a:t>
          </a:r>
          <a:r>
            <a:rPr lang="en-US" sz="1000" baseline="0" smtClean="0">
              <a:solidFill>
                <a:schemeClr val="lt1"/>
              </a:solidFill>
              <a:latin typeface="Arial" pitchFamily="34" charset="0"/>
              <a:ea typeface="+mn-ea"/>
              <a:cs typeface="Arial" pitchFamily="34" charset="0"/>
            </a:rPr>
            <a:t>occupational training activities, specially provided to ethnic minority people, disabled people, children living in special difficult conditions and/or reformed offenders;</a:t>
          </a:r>
        </a:p>
        <a:p>
          <a:endParaRPr lang="en-US" sz="1000" baseline="0" smtClean="0">
            <a:solidFill>
              <a:schemeClr val="lt1"/>
            </a:solidFill>
            <a:latin typeface="Arial" pitchFamily="34" charset="0"/>
            <a:ea typeface="+mn-ea"/>
            <a:cs typeface="Arial" pitchFamily="34" charset="0"/>
          </a:endParaRPr>
        </a:p>
        <a:p>
          <a:r>
            <a:rPr lang="en-US" sz="1200" baseline="0">
              <a:solidFill>
                <a:schemeClr val="lt1"/>
              </a:solidFill>
              <a:latin typeface="Arial" pitchFamily="34" charset="0"/>
              <a:ea typeface="+mn-ea"/>
              <a:cs typeface="Arial" pitchFamily="34" charset="0"/>
              <a:sym typeface="Wingdings"/>
            </a:rPr>
            <a:t></a:t>
          </a:r>
          <a:r>
            <a:rPr lang="en-US" sz="1000" baseline="0">
              <a:solidFill>
                <a:schemeClr val="lt1"/>
              </a:solidFill>
              <a:latin typeface="Arial" pitchFamily="34" charset="0"/>
              <a:ea typeface="+mn-ea"/>
              <a:cs typeface="Arial" pitchFamily="34" charset="0"/>
              <a:sym typeface="Wingdings"/>
            </a:rPr>
            <a:t> </a:t>
          </a:r>
          <a:r>
            <a:rPr lang="en-US" sz="1000" baseline="0">
              <a:solidFill>
                <a:schemeClr val="lt1"/>
              </a:solidFill>
              <a:latin typeface="Arial" pitchFamily="34" charset="0"/>
              <a:ea typeface="+mn-ea"/>
              <a:cs typeface="Arial" pitchFamily="34" charset="0"/>
            </a:rPr>
            <a:t>Revenue derived from </a:t>
          </a:r>
          <a:r>
            <a:rPr lang="en-US" sz="1000" baseline="0" smtClean="0">
              <a:solidFill>
                <a:schemeClr val="lt1"/>
              </a:solidFill>
              <a:latin typeface="Arial" pitchFamily="34" charset="0"/>
              <a:ea typeface="+mn-ea"/>
              <a:cs typeface="Arial" pitchFamily="34" charset="0"/>
            </a:rPr>
            <a:t>activities of capital contribution, purchase of shares, joint venture or economic association with a domestic enterprise after the party receiving such capital contribution, issuing shares, joint venture or association has already paid tax;</a:t>
          </a:r>
        </a:p>
        <a:p>
          <a:endParaRPr lang="en-US" sz="1000">
            <a:latin typeface="Arial" pitchFamily="34" charset="0"/>
            <a:cs typeface="Arial" pitchFamily="34" charset="0"/>
          </a:endParaRPr>
        </a:p>
        <a:p>
          <a:r>
            <a:rPr lang="en-US" sz="1200" baseline="0">
              <a:solidFill>
                <a:schemeClr val="lt1"/>
              </a:solidFill>
              <a:latin typeface="Arial" pitchFamily="34" charset="0"/>
              <a:ea typeface="+mn-ea"/>
              <a:cs typeface="Arial" pitchFamily="34" charset="0"/>
              <a:sym typeface="Wingdings"/>
            </a:rPr>
            <a:t> </a:t>
          </a:r>
          <a:r>
            <a:rPr lang="en-US" sz="1000" baseline="0" smtClean="0">
              <a:solidFill>
                <a:schemeClr val="lt1"/>
              </a:solidFill>
              <a:latin typeface="Arial" pitchFamily="34" charset="0"/>
              <a:ea typeface="+mn-ea"/>
              <a:cs typeface="Arial" pitchFamily="34" charset="0"/>
            </a:rPr>
            <a:t>Aid funds receivable for use in educational, scientific research, cultural, artistic, charitable humanitarian and other social activities in Vietnam.</a:t>
          </a:r>
        </a:p>
        <a:p>
          <a:endParaRPr lang="en-US" sz="1000" baseline="0" smtClean="0">
            <a:solidFill>
              <a:schemeClr val="lt1"/>
            </a:solidFill>
            <a:latin typeface="Arial" pitchFamily="34" charset="0"/>
            <a:ea typeface="+mn-ea"/>
            <a:cs typeface="Arial" pitchFamily="34" charset="0"/>
          </a:endParaRPr>
        </a:p>
        <a:p>
          <a:r>
            <a:rPr lang="en-US" sz="1200" baseline="0" smtClean="0">
              <a:solidFill>
                <a:schemeClr val="lt1"/>
              </a:solidFill>
              <a:latin typeface="Arial" pitchFamily="34" charset="0"/>
              <a:ea typeface="+mn-ea"/>
              <a:cs typeface="Arial" pitchFamily="34" charset="0"/>
              <a:sym typeface="Wingdings 2"/>
            </a:rPr>
            <a:t></a:t>
          </a:r>
          <a:r>
            <a:rPr lang="en-US" sz="1000" baseline="0" smtClean="0">
              <a:solidFill>
                <a:schemeClr val="lt1"/>
              </a:solidFill>
              <a:latin typeface="Arial" pitchFamily="34" charset="0"/>
              <a:ea typeface="+mn-ea"/>
              <a:cs typeface="Arial" pitchFamily="34" charset="0"/>
            </a:rPr>
            <a:t> Income from share premium upon the issue of shares of JSCs. </a:t>
          </a:r>
          <a:endParaRPr lang="en-US" sz="1000">
            <a:latin typeface="Arial" pitchFamily="34" charset="0"/>
            <a:cs typeface="Arial" pitchFamily="34" charset="0"/>
          </a:endParaRPr>
        </a:p>
        <a:p>
          <a:pPr algn="l"/>
          <a:endParaRPr lang="en-US" sz="1000" baseline="0">
            <a:latin typeface="Arial" pitchFamily="34" charset="0"/>
            <a:cs typeface="Arial" pitchFamily="34" charset="0"/>
          </a:endParaRPr>
        </a:p>
        <a:p>
          <a:pPr algn="l"/>
          <a:endParaRPr lang="en-US" sz="1000">
            <a:latin typeface="Arial" pitchFamily="34" charset="0"/>
            <a:cs typeface="Arial" pitchFamily="34" charset="0"/>
          </a:endParaRPr>
        </a:p>
        <a:p>
          <a:pPr algn="l"/>
          <a:endParaRPr lang="en-US" sz="1000">
            <a:latin typeface="Arial" pitchFamily="34" charset="0"/>
            <a:cs typeface="Arial"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276226</xdr:colOff>
      <xdr:row>7</xdr:row>
      <xdr:rowOff>190498</xdr:rowOff>
    </xdr:from>
    <xdr:to>
      <xdr:col>7</xdr:col>
      <xdr:colOff>400050</xdr:colOff>
      <xdr:row>10</xdr:row>
      <xdr:rowOff>161925</xdr:rowOff>
    </xdr:to>
    <xdr:sp macro="" textlink="">
      <xdr:nvSpPr>
        <xdr:cNvPr id="2" name="Round Diagonal Corner Rectangle 1"/>
        <xdr:cNvSpPr/>
      </xdr:nvSpPr>
      <xdr:spPr>
        <a:xfrm>
          <a:off x="276226" y="1628773"/>
          <a:ext cx="7229474" cy="542927"/>
        </a:xfrm>
        <a:prstGeom prst="round2Diag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l"/>
          <a:r>
            <a:rPr lang="en-US" sz="1000" baseline="0">
              <a:latin typeface="Arial" pitchFamily="34" charset="0"/>
              <a:cs typeface="Arial" pitchFamily="34" charset="0"/>
            </a:rPr>
            <a:t>Accounting revenue of current period which has been included into taxable income of previous year for CIT purposes must be excluded from taxable income of current year for CIT purposes.</a:t>
          </a:r>
        </a:p>
        <a:p>
          <a:pPr algn="l"/>
          <a:endParaRPr lang="en-US" sz="1000">
            <a:latin typeface="Arial" pitchFamily="34" charset="0"/>
            <a:cs typeface="Arial"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266701</xdr:colOff>
      <xdr:row>7</xdr:row>
      <xdr:rowOff>190499</xdr:rowOff>
    </xdr:from>
    <xdr:to>
      <xdr:col>7</xdr:col>
      <xdr:colOff>371476</xdr:colOff>
      <xdr:row>11</xdr:row>
      <xdr:rowOff>171450</xdr:rowOff>
    </xdr:to>
    <xdr:sp macro="" textlink="">
      <xdr:nvSpPr>
        <xdr:cNvPr id="2" name="Round Diagonal Corner Rectangle 1"/>
        <xdr:cNvSpPr/>
      </xdr:nvSpPr>
      <xdr:spPr>
        <a:xfrm>
          <a:off x="266701" y="1628774"/>
          <a:ext cx="7200900" cy="742951"/>
        </a:xfrm>
        <a:prstGeom prst="round2Diag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l"/>
          <a:r>
            <a:rPr lang="en-US" sz="1000">
              <a:solidFill>
                <a:schemeClr val="lt1"/>
              </a:solidFill>
              <a:latin typeface="Arial" pitchFamily="34" charset="0"/>
              <a:ea typeface="+mn-ea"/>
              <a:cs typeface="Arial" pitchFamily="34" charset="0"/>
            </a:rPr>
            <a:t>Due to the "revenue" and "expense" matching concept, if there is an incremental adjustment of the entity's taxable revenue in Item B2, expenses related to such revenue must also be included into the entity's deductible expenses of the current year for CIT purposes. </a:t>
          </a:r>
          <a:endParaRPr lang="en-US" sz="1000" baseline="0">
            <a:latin typeface="Arial" pitchFamily="34" charset="0"/>
            <a:cs typeface="Arial" pitchFamily="34" charset="0"/>
          </a:endParaRPr>
        </a:p>
        <a:p>
          <a:pPr algn="l"/>
          <a:endParaRPr lang="en-US" sz="1000">
            <a:latin typeface="Arial" pitchFamily="34" charset="0"/>
            <a:cs typeface="Arial" pitchFamily="34" charset="0"/>
          </a:endParaRPr>
        </a:p>
        <a:p>
          <a:pPr algn="l"/>
          <a:endParaRPr lang="en-US" sz="1000">
            <a:latin typeface="Arial" pitchFamily="34" charset="0"/>
            <a:cs typeface="Arial"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1</xdr:col>
      <xdr:colOff>9526</xdr:colOff>
      <xdr:row>7</xdr:row>
      <xdr:rowOff>190499</xdr:rowOff>
    </xdr:from>
    <xdr:to>
      <xdr:col>5</xdr:col>
      <xdr:colOff>419100</xdr:colOff>
      <xdr:row>21</xdr:row>
      <xdr:rowOff>57150</xdr:rowOff>
    </xdr:to>
    <xdr:sp macro="" textlink="">
      <xdr:nvSpPr>
        <xdr:cNvPr id="2" name="Round Diagonal Corner Rectangle 1"/>
        <xdr:cNvSpPr/>
      </xdr:nvSpPr>
      <xdr:spPr>
        <a:xfrm>
          <a:off x="257176" y="1628774"/>
          <a:ext cx="7248524" cy="3105151"/>
        </a:xfrm>
        <a:prstGeom prst="round2Diag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l"/>
          <a:r>
            <a:rPr lang="en-US" sz="1000" baseline="0">
              <a:solidFill>
                <a:schemeClr val="lt1"/>
              </a:solidFill>
              <a:latin typeface="Arial" pitchFamily="34" charset="0"/>
              <a:ea typeface="+mn-ea"/>
              <a:cs typeface="Arial" pitchFamily="34" charset="0"/>
            </a:rPr>
            <a:t>The other decremental adjustments of the tax return will be included into Item B11.  This item will cover, but not limited to, the following items:</a:t>
          </a:r>
        </a:p>
        <a:p>
          <a:pPr algn="l"/>
          <a:endParaRPr lang="en-US" sz="1000" baseline="0">
            <a:solidFill>
              <a:schemeClr val="lt1"/>
            </a:solidFill>
            <a:latin typeface="Arial" pitchFamily="34" charset="0"/>
            <a:ea typeface="+mn-ea"/>
            <a:cs typeface="Arial" pitchFamily="34" charset="0"/>
          </a:endParaRPr>
        </a:p>
        <a:p>
          <a:pPr algn="l"/>
          <a:r>
            <a:rPr lang="en-US" sz="1000" baseline="0">
              <a:solidFill>
                <a:schemeClr val="lt1"/>
              </a:solidFill>
              <a:latin typeface="Arial" pitchFamily="34" charset="0"/>
              <a:ea typeface="+mn-ea"/>
              <a:cs typeface="Arial" pitchFamily="34" charset="0"/>
            </a:rPr>
            <a:t>-  Unrealised foreign exchange gains derived from accounts other than payable accounts denominated in foreign currencies.</a:t>
          </a:r>
        </a:p>
        <a:p>
          <a:pPr algn="l"/>
          <a:r>
            <a:rPr lang="en-US" sz="1000" baseline="0">
              <a:solidFill>
                <a:schemeClr val="lt1"/>
              </a:solidFill>
              <a:latin typeface="Arial" pitchFamily="34" charset="0"/>
              <a:ea typeface="+mn-ea"/>
              <a:cs typeface="Arial" pitchFamily="34" charset="0"/>
            </a:rPr>
            <a:t>-  Accruals which were excluded from the Client's deductible expenses of the previous year for CIT purposes, but are actually paid in the current year, relevant to registered business activities, and supported by legitimate receipts and supporting documents.</a:t>
          </a:r>
        </a:p>
        <a:p>
          <a:pPr algn="l"/>
          <a:r>
            <a:rPr lang="en-US" sz="1000" baseline="0">
              <a:solidFill>
                <a:schemeClr val="lt1"/>
              </a:solidFill>
              <a:latin typeface="Arial" pitchFamily="34" charset="0"/>
              <a:ea typeface="+mn-ea"/>
              <a:cs typeface="Arial" pitchFamily="34" charset="0"/>
            </a:rPr>
            <a:t>-  Provisions which were excluded from the Client's deductible expenses of the previous year for CIT purposes, but are actually utilised or reversed to the taxable income in the current </a:t>
          </a:r>
          <a:r>
            <a:rPr lang="en-US" sz="1000" baseline="0">
              <a:solidFill>
                <a:schemeClr val="bg1"/>
              </a:solidFill>
              <a:latin typeface="Arial" pitchFamily="34" charset="0"/>
              <a:ea typeface="+mn-ea"/>
              <a:cs typeface="Arial" pitchFamily="34" charset="0"/>
            </a:rPr>
            <a:t>year in accordance with the regulations.</a:t>
          </a:r>
        </a:p>
        <a:p>
          <a:pPr algn="l"/>
          <a:r>
            <a:rPr lang="en-US" sz="1000" baseline="0">
              <a:solidFill>
                <a:schemeClr val="lt1"/>
              </a:solidFill>
              <a:latin typeface="Arial" pitchFamily="34" charset="0"/>
              <a:ea typeface="+mn-ea"/>
              <a:cs typeface="Arial" pitchFamily="34" charset="0"/>
            </a:rPr>
            <a:t>-  Non-creditable input VAT of the local purchases provided that the purchases are relevant to the Client's business activities and supported by legitimate invoices.</a:t>
          </a:r>
        </a:p>
        <a:p>
          <a:pPr algn="l"/>
          <a:r>
            <a:rPr lang="en-US" sz="1000" baseline="0">
              <a:solidFill>
                <a:schemeClr val="lt1"/>
              </a:solidFill>
              <a:latin typeface="Arial" pitchFamily="34" charset="0"/>
              <a:ea typeface="+mn-ea"/>
              <a:cs typeface="Arial" pitchFamily="34" charset="0"/>
            </a:rPr>
            <a:t>-   Under-allocated cost of tools and equipments (not qualified as fixed assets)  in accordance with Circular 123 (i.e. the allocation period is up to 2 years only)</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323849</xdr:colOff>
      <xdr:row>8</xdr:row>
      <xdr:rowOff>1</xdr:rowOff>
    </xdr:from>
    <xdr:to>
      <xdr:col>6</xdr:col>
      <xdr:colOff>485774</xdr:colOff>
      <xdr:row>17</xdr:row>
      <xdr:rowOff>114300</xdr:rowOff>
    </xdr:to>
    <xdr:sp macro="" textlink="">
      <xdr:nvSpPr>
        <xdr:cNvPr id="2" name="Round Diagonal Corner Rectangle 1"/>
        <xdr:cNvSpPr/>
      </xdr:nvSpPr>
      <xdr:spPr>
        <a:xfrm>
          <a:off x="323849" y="1628776"/>
          <a:ext cx="6391275" cy="1828799"/>
        </a:xfrm>
        <a:prstGeom prst="round2Diag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l"/>
          <a:r>
            <a:rPr lang="en-US" sz="1000">
              <a:latin typeface="Arial" pitchFamily="34" charset="0"/>
              <a:cs typeface="Arial" pitchFamily="34" charset="0"/>
            </a:rPr>
            <a:t>Pursuant</a:t>
          </a:r>
          <a:r>
            <a:rPr lang="en-US" sz="1000" baseline="0">
              <a:latin typeface="Arial" pitchFamily="34" charset="0"/>
              <a:cs typeface="Arial" pitchFamily="34" charset="0"/>
            </a:rPr>
            <a:t> to </a:t>
          </a:r>
          <a:r>
            <a:rPr lang="en-US" sz="1000">
              <a:solidFill>
                <a:schemeClr val="accent6">
                  <a:lumMod val="75000"/>
                </a:schemeClr>
              </a:solidFill>
              <a:latin typeface="Arial" pitchFamily="34" charset="0"/>
              <a:cs typeface="Arial" pitchFamily="34" charset="0"/>
            </a:rPr>
            <a:t>Circular 123</a:t>
          </a:r>
          <a:r>
            <a:rPr lang="en-US" sz="1000" i="0">
              <a:latin typeface="Arial" pitchFamily="34" charset="0"/>
              <a:cs typeface="Arial" pitchFamily="34" charset="0"/>
            </a:rPr>
            <a:t>, unrealised </a:t>
          </a:r>
          <a:r>
            <a:rPr lang="en-US" sz="1000" i="0" baseline="0">
              <a:latin typeface="Arial" pitchFamily="34" charset="0"/>
              <a:cs typeface="Arial" pitchFamily="34" charset="0"/>
            </a:rPr>
            <a:t>foreign exchange gain derived due to revaluation of "</a:t>
          </a:r>
          <a:r>
            <a:rPr lang="en-US" sz="1000" i="0" u="none" baseline="0">
              <a:latin typeface="Arial" pitchFamily="34" charset="0"/>
              <a:cs typeface="Arial" pitchFamily="34" charset="0"/>
            </a:rPr>
            <a:t>payable account</a:t>
          </a:r>
          <a:r>
            <a:rPr lang="en-US" sz="1000" i="0" baseline="0">
              <a:latin typeface="Arial" pitchFamily="34" charset="0"/>
              <a:cs typeface="Arial" pitchFamily="34" charset="0"/>
            </a:rPr>
            <a:t>s" denominated in foreign currencies will be taxable for CIT purpose.</a:t>
          </a:r>
        </a:p>
        <a:p>
          <a:pPr algn="l"/>
          <a:endParaRPr lang="en-US" sz="1000" i="0" baseline="0">
            <a:latin typeface="Arial" pitchFamily="34" charset="0"/>
            <a:cs typeface="Arial" pitchFamily="34" charset="0"/>
          </a:endParaRPr>
        </a:p>
        <a:p>
          <a:pPr algn="l"/>
          <a:r>
            <a:rPr lang="en-US" sz="1000" i="0">
              <a:solidFill>
                <a:schemeClr val="lt1"/>
              </a:solidFill>
              <a:latin typeface="Arial" pitchFamily="34" charset="0"/>
              <a:ea typeface="+mn-ea"/>
              <a:cs typeface="Arial" pitchFamily="34" charset="0"/>
            </a:rPr>
            <a:t>Unrealised foreign exchange gain due to revaluation of "payable accounts" denominated in foreign currencies will be offset against unrealised foreign exchange losses incurred  due to revaluation of "payable accounts" denominated in foreign currencies.  After offsetting, the remaining gain will be included into the Client's "other" taxable income.</a:t>
          </a:r>
          <a:endParaRPr lang="en-US" sz="1000" i="0" strike="sngStrike" baseline="0">
            <a:solidFill>
              <a:srgbClr val="FF0000"/>
            </a:solidFill>
            <a:latin typeface="Arial" pitchFamily="34" charset="0"/>
            <a:ea typeface="+mn-ea"/>
            <a:cs typeface="Arial" pitchFamily="34" charset="0"/>
          </a:endParaRPr>
        </a:p>
        <a:p>
          <a:pPr algn="l"/>
          <a:endParaRPr lang="en-US" sz="1000" baseline="0">
            <a:latin typeface="Arial" pitchFamily="34" charset="0"/>
            <a:cs typeface="Arial" pitchFamily="34" charset="0"/>
          </a:endParaRPr>
        </a:p>
        <a:p>
          <a:pPr algn="l"/>
          <a:r>
            <a:rPr lang="en-US" sz="1000" baseline="0">
              <a:latin typeface="Arial" pitchFamily="34" charset="0"/>
              <a:cs typeface="Arial" pitchFamily="34" charset="0"/>
            </a:rPr>
            <a:t>Unrealised foreign exchange gain due to revaluation of accounts </a:t>
          </a:r>
          <a:r>
            <a:rPr lang="en-US" sz="1000" u="none" baseline="0">
              <a:latin typeface="Arial" pitchFamily="34" charset="0"/>
              <a:cs typeface="Arial" pitchFamily="34" charset="0"/>
            </a:rPr>
            <a:t>(other than "payable accounts") </a:t>
          </a:r>
          <a:r>
            <a:rPr lang="en-US" sz="1000" baseline="0">
              <a:latin typeface="Arial" pitchFamily="34" charset="0"/>
              <a:cs typeface="Arial" pitchFamily="34" charset="0"/>
            </a:rPr>
            <a:t>which are denominated in foreign currencies are NOT taxable for CIT purposes.</a:t>
          </a:r>
          <a:endParaRPr lang="en-US" sz="1000">
            <a:latin typeface="Arial" pitchFamily="34" charset="0"/>
            <a:cs typeface="Arial" pitchFamily="34" charset="0"/>
          </a:endParaRP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428624</xdr:colOff>
      <xdr:row>9</xdr:row>
      <xdr:rowOff>0</xdr:rowOff>
    </xdr:from>
    <xdr:to>
      <xdr:col>7</xdr:col>
      <xdr:colOff>219075</xdr:colOff>
      <xdr:row>20</xdr:row>
      <xdr:rowOff>47626</xdr:rowOff>
    </xdr:to>
    <xdr:sp macro="" textlink="">
      <xdr:nvSpPr>
        <xdr:cNvPr id="2" name="Round Diagonal Corner Rectangle 1"/>
        <xdr:cNvSpPr/>
      </xdr:nvSpPr>
      <xdr:spPr>
        <a:xfrm>
          <a:off x="428624" y="1819275"/>
          <a:ext cx="8391526" cy="1952626"/>
        </a:xfrm>
        <a:prstGeom prst="round2Diag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l"/>
          <a:r>
            <a:rPr lang="en-US" sz="1000" baseline="0">
              <a:solidFill>
                <a:schemeClr val="lt1"/>
              </a:solidFill>
              <a:latin typeface="Arial" pitchFamily="34" charset="0"/>
              <a:ea typeface="+mn-ea"/>
              <a:cs typeface="Arial" pitchFamily="34" charset="0"/>
            </a:rPr>
            <a:t>Below are samples of decremental adjustments of taxable income:</a:t>
          </a:r>
        </a:p>
        <a:p>
          <a:pPr algn="l"/>
          <a:endParaRPr lang="en-US" sz="1000" baseline="0">
            <a:solidFill>
              <a:schemeClr val="lt1"/>
            </a:solidFill>
            <a:latin typeface="Arial" pitchFamily="34" charset="0"/>
            <a:ea typeface="+mn-ea"/>
            <a:cs typeface="Arial" pitchFamily="34" charset="0"/>
          </a:endParaRPr>
        </a:p>
        <a:p>
          <a:pPr algn="l"/>
          <a:r>
            <a:rPr lang="en-US" sz="1000" baseline="0">
              <a:solidFill>
                <a:schemeClr val="lt1"/>
              </a:solidFill>
              <a:latin typeface="Arial" pitchFamily="34" charset="0"/>
              <a:ea typeface="+mn-ea"/>
              <a:cs typeface="Arial" pitchFamily="34" charset="0"/>
            </a:rPr>
            <a:t>1.  Add back of non-deductible accrual/ provisional expenses which were excluded from the entity's deductible expenses of the previous year for CIT purposes, but either are actually paid in the current year which is supported by legitimate receipts and supporting documents </a:t>
          </a:r>
          <a:r>
            <a:rPr lang="en-US" sz="1000" baseline="0">
              <a:solidFill>
                <a:srgbClr val="FFC000"/>
              </a:solidFill>
              <a:latin typeface="Arial" pitchFamily="34" charset="0"/>
              <a:ea typeface="+mn-ea"/>
              <a:cs typeface="Arial" pitchFamily="34" charset="0"/>
            </a:rPr>
            <a:t>or reversed in the current year</a:t>
          </a:r>
          <a:r>
            <a:rPr lang="en-US" sz="1000" baseline="0">
              <a:solidFill>
                <a:schemeClr val="lt1"/>
              </a:solidFill>
              <a:latin typeface="Arial" pitchFamily="34" charset="0"/>
              <a:ea typeface="+mn-ea"/>
              <a:cs typeface="Arial" pitchFamily="34" charset="0"/>
            </a:rPr>
            <a:t>.</a:t>
          </a:r>
        </a:p>
        <a:p>
          <a:pPr algn="l"/>
          <a:endParaRPr lang="en-US" sz="1000" baseline="0">
            <a:solidFill>
              <a:schemeClr val="lt1"/>
            </a:solidFill>
            <a:latin typeface="Arial" pitchFamily="34" charset="0"/>
            <a:ea typeface="+mn-ea"/>
            <a:cs typeface="Arial" pitchFamily="34" charset="0"/>
          </a:endParaRPr>
        </a:p>
        <a:p>
          <a:pPr algn="l"/>
          <a:r>
            <a:rPr lang="en-US" sz="1000" baseline="0">
              <a:solidFill>
                <a:srgbClr val="FFC000"/>
              </a:solidFill>
              <a:latin typeface="Arial" pitchFamily="34" charset="0"/>
              <a:ea typeface="+mn-ea"/>
              <a:cs typeface="Arial" pitchFamily="34" charset="0"/>
            </a:rPr>
            <a:t>2.  Under-allocated cost of tools and equipments (not qualified as fixed assets)  in accordance with Circular 123 (i.e. the allocation period is up to 2 years only)</a:t>
          </a:r>
        </a:p>
        <a:p>
          <a:pPr algn="l"/>
          <a:endParaRPr lang="en-US" sz="1000" baseline="0">
            <a:solidFill>
              <a:schemeClr val="lt1"/>
            </a:solidFill>
            <a:latin typeface="Arial" pitchFamily="34" charset="0"/>
            <a:ea typeface="+mn-ea"/>
            <a:cs typeface="Arial" pitchFamily="34" charset="0"/>
          </a:endParaRPr>
        </a:p>
        <a:p>
          <a:pPr algn="l"/>
          <a:r>
            <a:rPr lang="en-US" sz="1000" baseline="0">
              <a:solidFill>
                <a:schemeClr val="lt1"/>
              </a:solidFill>
              <a:latin typeface="Arial" pitchFamily="34" charset="0"/>
              <a:ea typeface="+mn-ea"/>
              <a:cs typeface="Arial" pitchFamily="34" charset="0"/>
            </a:rPr>
            <a:t>3.  Non-creditable input VAT of the local purchases provided that the purchases are relevant to the entity's business activities and supported by legitimate invoices.</a:t>
          </a:r>
        </a:p>
        <a:p>
          <a:pPr algn="l"/>
          <a:endParaRPr lang="en-US" sz="1000">
            <a:latin typeface="Arial" pitchFamily="34" charset="0"/>
            <a:cs typeface="Arial"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1</xdr:col>
      <xdr:colOff>9525</xdr:colOff>
      <xdr:row>9</xdr:row>
      <xdr:rowOff>123823</xdr:rowOff>
    </xdr:from>
    <xdr:to>
      <xdr:col>6</xdr:col>
      <xdr:colOff>19050</xdr:colOff>
      <xdr:row>50</xdr:row>
      <xdr:rowOff>9525</xdr:rowOff>
    </xdr:to>
    <xdr:sp macro="" textlink="">
      <xdr:nvSpPr>
        <xdr:cNvPr id="2" name="Round Diagonal Corner Rectangle 1"/>
        <xdr:cNvSpPr/>
      </xdr:nvSpPr>
      <xdr:spPr>
        <a:xfrm>
          <a:off x="333375" y="1943098"/>
          <a:ext cx="8315325" cy="7696202"/>
        </a:xfrm>
        <a:prstGeom prst="round2Diag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l">
            <a:lnSpc>
              <a:spcPct val="100000"/>
            </a:lnSpc>
            <a:spcBef>
              <a:spcPts val="0"/>
            </a:spcBef>
            <a:spcAft>
              <a:spcPts val="0"/>
            </a:spcAft>
          </a:pPr>
          <a:r>
            <a:rPr lang="en-US" sz="1000" baseline="0">
              <a:latin typeface="Arial" pitchFamily="34" charset="0"/>
              <a:cs typeface="Arial" pitchFamily="34" charset="0"/>
            </a:rPr>
            <a:t>Income derived by a business entity in relation to activities which are different from those registered with the licensing authorities and stated in the entity's investment certificate, and/or stipulated in </a:t>
          </a:r>
          <a:r>
            <a:rPr lang="en-US" sz="1000" baseline="0">
              <a:solidFill>
                <a:srgbClr val="FFC000"/>
              </a:solidFill>
              <a:latin typeface="Arial" pitchFamily="34" charset="0"/>
              <a:cs typeface="Arial" pitchFamily="34" charset="0"/>
            </a:rPr>
            <a:t>Article 7, Circular 123 </a:t>
          </a:r>
          <a:r>
            <a:rPr lang="en-US" sz="1000" baseline="0">
              <a:latin typeface="Arial" pitchFamily="34" charset="0"/>
              <a:cs typeface="Arial" pitchFamily="34" charset="0"/>
            </a:rPr>
            <a:t>will be subject to the standard CIT rate of 25% (not the preferential CIT rate). Other taxable income may include:</a:t>
          </a:r>
        </a:p>
        <a:p>
          <a:pPr algn="l">
            <a:lnSpc>
              <a:spcPct val="100000"/>
            </a:lnSpc>
            <a:spcBef>
              <a:spcPts val="0"/>
            </a:spcBef>
            <a:spcAft>
              <a:spcPts val="0"/>
            </a:spcAft>
          </a:pPr>
          <a:endParaRPr lang="en-US" sz="1000" baseline="0">
            <a:latin typeface="Arial" pitchFamily="34" charset="0"/>
            <a:cs typeface="Arial" pitchFamily="34" charset="0"/>
          </a:endParaRPr>
        </a:p>
        <a:p>
          <a:pPr algn="l">
            <a:lnSpc>
              <a:spcPct val="100000"/>
            </a:lnSpc>
            <a:spcBef>
              <a:spcPts val="0"/>
            </a:spcBef>
            <a:spcAft>
              <a:spcPts val="0"/>
            </a:spcAft>
          </a:pPr>
          <a:r>
            <a:rPr lang="en-US" sz="1000" baseline="0">
              <a:latin typeface="Arial" pitchFamily="34" charset="0"/>
              <a:cs typeface="Arial" pitchFamily="34" charset="0"/>
            </a:rPr>
            <a:t>1. Income derived from assignment of capital or securities;</a:t>
          </a:r>
        </a:p>
        <a:p>
          <a:pPr algn="l">
            <a:lnSpc>
              <a:spcPct val="100000"/>
            </a:lnSpc>
            <a:spcBef>
              <a:spcPts val="0"/>
            </a:spcBef>
            <a:spcAft>
              <a:spcPts val="0"/>
            </a:spcAft>
          </a:pPr>
          <a:r>
            <a:rPr lang="en-US" sz="1000" baseline="0">
              <a:latin typeface="Arial" pitchFamily="34" charset="0"/>
              <a:cs typeface="Arial" pitchFamily="34" charset="0"/>
            </a:rPr>
            <a:t>2. Income derived from transfer of real estate;</a:t>
          </a:r>
        </a:p>
        <a:p>
          <a:pPr algn="l">
            <a:lnSpc>
              <a:spcPct val="100000"/>
            </a:lnSpc>
            <a:spcBef>
              <a:spcPts val="0"/>
            </a:spcBef>
            <a:spcAft>
              <a:spcPts val="0"/>
            </a:spcAft>
          </a:pPr>
          <a:r>
            <a:rPr lang="en-US" sz="1000" baseline="0">
              <a:latin typeface="Arial" pitchFamily="34" charset="0"/>
              <a:cs typeface="Arial" pitchFamily="34" charset="0"/>
            </a:rPr>
            <a:t>3. Income derived from overseas investments and business activities;</a:t>
          </a:r>
        </a:p>
        <a:p>
          <a:pPr algn="l">
            <a:lnSpc>
              <a:spcPct val="100000"/>
            </a:lnSpc>
            <a:spcBef>
              <a:spcPts val="0"/>
            </a:spcBef>
            <a:spcAft>
              <a:spcPts val="0"/>
            </a:spcAft>
          </a:pPr>
          <a:r>
            <a:rPr lang="en-US" sz="1000" baseline="0">
              <a:latin typeface="Arial" pitchFamily="34" charset="0"/>
              <a:cs typeface="Arial" pitchFamily="34" charset="0"/>
            </a:rPr>
            <a:t>4. Income derived in relation to ownership or right to use assets inclusive of intellectual property or copyright;</a:t>
          </a:r>
        </a:p>
        <a:p>
          <a:pPr algn="l">
            <a:lnSpc>
              <a:spcPct val="100000"/>
            </a:lnSpc>
            <a:spcBef>
              <a:spcPts val="0"/>
            </a:spcBef>
            <a:spcAft>
              <a:spcPts val="0"/>
            </a:spcAft>
          </a:pPr>
          <a:r>
            <a:rPr lang="en-US" sz="1000" baseline="0">
              <a:latin typeface="Arial" pitchFamily="34" charset="0"/>
              <a:cs typeface="Arial" pitchFamily="34" charset="0"/>
            </a:rPr>
            <a:t>5. Income derived from transfer or disposal of assets which </a:t>
          </a:r>
          <a:r>
            <a:rPr lang="en-US" sz="1000" u="sng" baseline="0">
              <a:latin typeface="Arial" pitchFamily="34" charset="0"/>
              <a:cs typeface="Arial" pitchFamily="34" charset="0"/>
            </a:rPr>
            <a:t>are not directly related to</a:t>
          </a:r>
          <a:r>
            <a:rPr lang="en-US" sz="1000" baseline="0">
              <a:latin typeface="Arial" pitchFamily="34" charset="0"/>
              <a:cs typeface="Arial" pitchFamily="34" charset="0"/>
            </a:rPr>
            <a:t> the encouraged business activities, and other valuable papers;</a:t>
          </a:r>
        </a:p>
        <a:p>
          <a:pPr algn="l">
            <a:lnSpc>
              <a:spcPct val="100000"/>
            </a:lnSpc>
            <a:spcBef>
              <a:spcPts val="0"/>
            </a:spcBef>
            <a:spcAft>
              <a:spcPts val="0"/>
            </a:spcAft>
          </a:pPr>
          <a:r>
            <a:rPr lang="en-US" sz="1000" baseline="0">
              <a:solidFill>
                <a:schemeClr val="lt1"/>
              </a:solidFill>
              <a:latin typeface="Arial" pitchFamily="34" charset="0"/>
              <a:ea typeface="+mn-ea"/>
              <a:cs typeface="Arial" pitchFamily="34" charset="0"/>
            </a:rPr>
            <a:t>6. Interest income derived from bank deposits/ savings or capital loan after being offset against interest expenses of the same nature;</a:t>
          </a:r>
        </a:p>
        <a:p>
          <a:pPr algn="l">
            <a:lnSpc>
              <a:spcPct val="100000"/>
            </a:lnSpc>
            <a:spcBef>
              <a:spcPts val="0"/>
            </a:spcBef>
            <a:spcAft>
              <a:spcPts val="0"/>
            </a:spcAft>
          </a:pPr>
          <a:r>
            <a:rPr lang="en-US" sz="1000" baseline="0">
              <a:solidFill>
                <a:schemeClr val="lt1"/>
              </a:solidFill>
              <a:latin typeface="Arial" pitchFamily="34" charset="0"/>
              <a:ea typeface="+mn-ea"/>
              <a:cs typeface="Arial" pitchFamily="34" charset="0"/>
            </a:rPr>
            <a:t>7. Realised foreign exchange gain and losses which are NOT related to revenue and expenses of the entity's main business activities;</a:t>
          </a:r>
        </a:p>
        <a:p>
          <a:pPr marL="0" indent="0" algn="l">
            <a:lnSpc>
              <a:spcPct val="100000"/>
            </a:lnSpc>
            <a:spcBef>
              <a:spcPts val="0"/>
            </a:spcBef>
            <a:spcAft>
              <a:spcPts val="0"/>
            </a:spcAft>
          </a:pPr>
          <a:r>
            <a:rPr lang="en-US" sz="1000" baseline="0">
              <a:solidFill>
                <a:schemeClr val="lt1"/>
              </a:solidFill>
              <a:latin typeface="Arial" pitchFamily="34" charset="0"/>
              <a:ea typeface="+mn-ea"/>
              <a:cs typeface="Arial" pitchFamily="34" charset="0"/>
            </a:rPr>
            <a:t>8. Unrealised foreign exchange gain derived from  revaluation of "payable accounts" denominated in foreign currencies after being offset against unrealised foreign exchange loss incurred from revaluation of "payable accounts" denominated in foreign currencies;</a:t>
          </a:r>
        </a:p>
        <a:p>
          <a:pPr marL="0" indent="0" algn="l">
            <a:lnSpc>
              <a:spcPct val="100000"/>
            </a:lnSpc>
            <a:spcBef>
              <a:spcPts val="0"/>
            </a:spcBef>
            <a:spcAft>
              <a:spcPts val="0"/>
            </a:spcAft>
          </a:pPr>
          <a:r>
            <a:rPr lang="en-US" sz="1000" baseline="0">
              <a:solidFill>
                <a:schemeClr val="lt1"/>
              </a:solidFill>
              <a:latin typeface="Arial" pitchFamily="34" charset="0"/>
              <a:ea typeface="+mn-ea"/>
              <a:cs typeface="Arial" pitchFamily="34" charset="0"/>
            </a:rPr>
            <a:t>9. Collection of debts which have been previously written off;</a:t>
          </a:r>
        </a:p>
        <a:p>
          <a:pPr marL="0" indent="0">
            <a:lnSpc>
              <a:spcPct val="100000"/>
            </a:lnSpc>
            <a:spcBef>
              <a:spcPts val="0"/>
            </a:spcBef>
            <a:spcAft>
              <a:spcPts val="0"/>
            </a:spcAft>
          </a:pPr>
          <a:r>
            <a:rPr lang="en-US" sz="1000" baseline="0">
              <a:solidFill>
                <a:schemeClr val="lt1"/>
              </a:solidFill>
              <a:latin typeface="Arial" pitchFamily="34" charset="0"/>
              <a:ea typeface="+mn-ea"/>
              <a:cs typeface="Arial" pitchFamily="34" charset="0"/>
            </a:rPr>
            <a:t>10. Account payables creditors of which cannot be identified;</a:t>
          </a:r>
        </a:p>
        <a:p>
          <a:pPr marL="0" indent="0" algn="l">
            <a:lnSpc>
              <a:spcPct val="100000"/>
            </a:lnSpc>
            <a:spcBef>
              <a:spcPts val="0"/>
            </a:spcBef>
            <a:spcAft>
              <a:spcPts val="0"/>
            </a:spcAft>
          </a:pPr>
          <a:r>
            <a:rPr lang="en-US" sz="1000" baseline="0">
              <a:solidFill>
                <a:schemeClr val="lt1"/>
              </a:solidFill>
              <a:latin typeface="Arial" pitchFamily="34" charset="0"/>
              <a:ea typeface="+mn-ea"/>
              <a:cs typeface="Arial" pitchFamily="34" charset="0"/>
            </a:rPr>
            <a:t>11. Business income of the previous years which have not been declared </a:t>
          </a:r>
        </a:p>
        <a:p>
          <a:pPr algn="l">
            <a:lnSpc>
              <a:spcPct val="100000"/>
            </a:lnSpc>
            <a:spcBef>
              <a:spcPts val="0"/>
            </a:spcBef>
            <a:spcAft>
              <a:spcPts val="0"/>
            </a:spcAft>
          </a:pPr>
          <a:r>
            <a:rPr lang="en-US" sz="1000" baseline="0">
              <a:solidFill>
                <a:schemeClr val="lt1"/>
              </a:solidFill>
              <a:latin typeface="Arial" pitchFamily="34" charset="0"/>
              <a:ea typeface="+mn-ea"/>
              <a:cs typeface="Arial" pitchFamily="34" charset="0"/>
            </a:rPr>
            <a:t>12. Collection of compensation from contracting partners due to the violation of economic contracts after being offset against the entity's compensation payable of the same nature</a:t>
          </a:r>
        </a:p>
        <a:p>
          <a:pPr marL="0" marR="0" indent="0" algn="l" defTabSz="914400" eaLnBrk="1" fontAlgn="auto" latinLnBrk="0" hangingPunct="1">
            <a:lnSpc>
              <a:spcPct val="100000"/>
            </a:lnSpc>
            <a:spcBef>
              <a:spcPts val="0"/>
            </a:spcBef>
            <a:spcAft>
              <a:spcPts val="0"/>
            </a:spcAft>
            <a:buClrTx/>
            <a:buSzTx/>
            <a:buFontTx/>
            <a:buNone/>
            <a:tabLst/>
            <a:defRPr/>
          </a:pPr>
          <a:r>
            <a:rPr lang="en-US" sz="1000" baseline="0">
              <a:solidFill>
                <a:schemeClr val="lt1"/>
              </a:solidFill>
              <a:latin typeface="Arial" pitchFamily="34" charset="0"/>
              <a:ea typeface="+mn-ea"/>
              <a:cs typeface="Arial" pitchFamily="34" charset="0"/>
            </a:rPr>
            <a:t>13. Income derived from revaluation of assets for capital contribution, merger, acquisition, division and transfer of ownership (except for converting a State owned company into a joint stock one). Note, this income (except income from revaluation of land use right) shall be taxable in one tax period only, no allocation is allowed. Regarding revaluation of land use right for capital contribution for construction of buildings for trading, any gains shall be taxable in one tax period only. </a:t>
          </a:r>
          <a:r>
            <a:rPr lang="en-US" sz="1100" baseline="0">
              <a:solidFill>
                <a:schemeClr val="lt1"/>
              </a:solidFill>
              <a:latin typeface="+mn-lt"/>
              <a:ea typeface="+mn-ea"/>
              <a:cs typeface="+mn-cs"/>
            </a:rPr>
            <a:t>Regarding revaluation of land use right for capital contribution for business activities, gains can be allocated up to 10 years</a:t>
          </a:r>
          <a:r>
            <a:rPr lang="en-US" sz="1000" baseline="0">
              <a:solidFill>
                <a:schemeClr val="lt1"/>
              </a:solidFill>
              <a:latin typeface="Arial" pitchFamily="34" charset="0"/>
              <a:ea typeface="+mn-ea"/>
              <a:cs typeface="Arial" pitchFamily="34" charset="0"/>
            </a:rPr>
            <a:t>;</a:t>
          </a:r>
        </a:p>
        <a:p>
          <a:pPr algn="l">
            <a:lnSpc>
              <a:spcPct val="100000"/>
            </a:lnSpc>
            <a:spcBef>
              <a:spcPts val="0"/>
            </a:spcBef>
            <a:spcAft>
              <a:spcPts val="0"/>
            </a:spcAft>
          </a:pPr>
          <a:r>
            <a:rPr lang="en-US" sz="1000" baseline="0">
              <a:solidFill>
                <a:schemeClr val="lt1"/>
              </a:solidFill>
              <a:latin typeface="Arial" pitchFamily="34" charset="0"/>
              <a:ea typeface="+mn-ea"/>
              <a:cs typeface="Arial" pitchFamily="34" charset="0"/>
            </a:rPr>
            <a:t>14. Gifts (in kind or cash), and income received in kind or  cash in relation to promotion activities, expense support, sales discounts, promotion bonuses and other activities of support;</a:t>
          </a:r>
        </a:p>
        <a:p>
          <a:pPr algn="l">
            <a:lnSpc>
              <a:spcPct val="100000"/>
            </a:lnSpc>
            <a:spcBef>
              <a:spcPts val="0"/>
            </a:spcBef>
            <a:spcAft>
              <a:spcPts val="0"/>
            </a:spcAft>
          </a:pPr>
          <a:r>
            <a:rPr lang="en-US" sz="1000" baseline="0">
              <a:solidFill>
                <a:schemeClr val="lt1"/>
              </a:solidFill>
              <a:latin typeface="Arial" pitchFamily="34" charset="0"/>
              <a:ea typeface="+mn-ea"/>
              <a:cs typeface="Arial" pitchFamily="34" charset="0"/>
            </a:rPr>
            <a:t>15. Compensation payments in relation to the relocation of the entity;</a:t>
          </a:r>
        </a:p>
        <a:p>
          <a:pPr algn="l">
            <a:lnSpc>
              <a:spcPct val="100000"/>
            </a:lnSpc>
            <a:spcBef>
              <a:spcPts val="0"/>
            </a:spcBef>
            <a:spcAft>
              <a:spcPts val="0"/>
            </a:spcAft>
          </a:pPr>
          <a:r>
            <a:rPr lang="en-US" sz="1000" baseline="0">
              <a:solidFill>
                <a:schemeClr val="lt1"/>
              </a:solidFill>
              <a:latin typeface="Arial" pitchFamily="34" charset="0"/>
              <a:ea typeface="+mn-ea"/>
              <a:cs typeface="Arial" pitchFamily="34" charset="0"/>
            </a:rPr>
            <a:t>16. Income derived in relation to provision of goods or services, but have not been included in the entity's revenue;</a:t>
          </a:r>
        </a:p>
        <a:p>
          <a:pPr algn="l">
            <a:lnSpc>
              <a:spcPct val="100000"/>
            </a:lnSpc>
            <a:spcBef>
              <a:spcPts val="0"/>
            </a:spcBef>
            <a:spcAft>
              <a:spcPts val="0"/>
            </a:spcAft>
          </a:pPr>
          <a:r>
            <a:rPr lang="en-US" sz="1000" baseline="0">
              <a:solidFill>
                <a:schemeClr val="lt1"/>
              </a:solidFill>
              <a:latin typeface="Arial" pitchFamily="34" charset="0"/>
              <a:ea typeface="+mn-ea"/>
              <a:cs typeface="Arial" pitchFamily="34" charset="0"/>
            </a:rPr>
            <a:t>17. Income derived from sales of scraps which are NOT directly related to "encouraged" business activities after being offset against related disposal expenses;</a:t>
          </a:r>
        </a:p>
        <a:p>
          <a:pPr algn="l">
            <a:lnSpc>
              <a:spcPct val="100000"/>
            </a:lnSpc>
            <a:spcBef>
              <a:spcPts val="0"/>
            </a:spcBef>
            <a:spcAft>
              <a:spcPts val="0"/>
            </a:spcAft>
          </a:pPr>
          <a:r>
            <a:rPr lang="en-US" sz="1000" baseline="0">
              <a:solidFill>
                <a:schemeClr val="lt1"/>
              </a:solidFill>
              <a:latin typeface="Arial" pitchFamily="34" charset="0"/>
              <a:ea typeface="+mn-ea"/>
              <a:cs typeface="Arial" pitchFamily="34" charset="0"/>
            </a:rPr>
            <a:t>18. Dividends derived from capital contribution, joint venture, economic cooperation in Vietnam before CIT payments;</a:t>
          </a:r>
        </a:p>
        <a:p>
          <a:pPr algn="l">
            <a:lnSpc>
              <a:spcPct val="100000"/>
            </a:lnSpc>
            <a:spcBef>
              <a:spcPts val="0"/>
            </a:spcBef>
            <a:spcAft>
              <a:spcPts val="0"/>
            </a:spcAft>
          </a:pPr>
          <a:r>
            <a:rPr lang="en-US" sz="1000" baseline="0">
              <a:solidFill>
                <a:schemeClr val="lt1"/>
              </a:solidFill>
              <a:latin typeface="Arial" pitchFamily="34" charset="0"/>
              <a:ea typeface="+mn-ea"/>
              <a:cs typeface="Arial" pitchFamily="34" charset="0"/>
            </a:rPr>
            <a:t>19. Import duty and/or export duty refund which are NOT relevant to the current year and/or the entity's encouraged business activities;</a:t>
          </a:r>
        </a:p>
        <a:p>
          <a:pPr algn="l">
            <a:lnSpc>
              <a:spcPct val="100000"/>
            </a:lnSpc>
            <a:spcBef>
              <a:spcPts val="0"/>
            </a:spcBef>
            <a:spcAft>
              <a:spcPts val="0"/>
            </a:spcAft>
          </a:pPr>
          <a:r>
            <a:rPr lang="en-US" sz="1000" baseline="0">
              <a:solidFill>
                <a:schemeClr val="lt1"/>
              </a:solidFill>
              <a:latin typeface="Arial" pitchFamily="34" charset="0"/>
              <a:ea typeface="+mn-ea"/>
              <a:cs typeface="Arial" pitchFamily="34" charset="0"/>
            </a:rPr>
            <a:t>20. Income from project transfer, project implementing right transfer, right of exploration, exploitation, and processing of minerals; and</a:t>
          </a:r>
        </a:p>
        <a:p>
          <a:pPr algn="l">
            <a:lnSpc>
              <a:spcPct val="100000"/>
            </a:lnSpc>
            <a:spcBef>
              <a:spcPts val="0"/>
            </a:spcBef>
            <a:spcAft>
              <a:spcPts val="0"/>
            </a:spcAft>
          </a:pPr>
          <a:r>
            <a:rPr lang="en-US" sz="1000" baseline="0">
              <a:solidFill>
                <a:srgbClr val="FFC000"/>
              </a:solidFill>
              <a:latin typeface="Arial" pitchFamily="34" charset="0"/>
              <a:ea typeface="+mn-ea"/>
              <a:cs typeface="Arial" pitchFamily="34" charset="0"/>
            </a:rPr>
            <a:t>21. The write-off of outstanding balance of provision for severance allowance at the 2012 fiscal year-end under Circular 180/2012/TT-BTC</a:t>
          </a:r>
        </a:p>
        <a:p>
          <a:pPr algn="l">
            <a:lnSpc>
              <a:spcPct val="100000"/>
            </a:lnSpc>
            <a:spcBef>
              <a:spcPts val="0"/>
            </a:spcBef>
            <a:spcAft>
              <a:spcPts val="0"/>
            </a:spcAft>
          </a:pPr>
          <a:r>
            <a:rPr lang="en-US" sz="1000" baseline="0">
              <a:solidFill>
                <a:schemeClr val="lt1"/>
              </a:solidFill>
              <a:latin typeface="Arial" pitchFamily="34" charset="0"/>
              <a:ea typeface="+mn-ea"/>
              <a:cs typeface="Arial" pitchFamily="34" charset="0"/>
            </a:rPr>
            <a:t>22.  Other statutory income</a:t>
          </a:r>
        </a:p>
        <a:p>
          <a:pPr algn="l">
            <a:lnSpc>
              <a:spcPct val="100000"/>
            </a:lnSpc>
            <a:spcBef>
              <a:spcPts val="0"/>
            </a:spcBef>
            <a:spcAft>
              <a:spcPts val="0"/>
            </a:spcAft>
          </a:pPr>
          <a:endParaRPr lang="en-US" sz="1000" baseline="0">
            <a:latin typeface="Arial" pitchFamily="34" charset="0"/>
            <a:cs typeface="Arial" pitchFamily="34" charset="0"/>
          </a:endParaRPr>
        </a:p>
        <a:p>
          <a:pPr algn="l">
            <a:lnSpc>
              <a:spcPct val="100000"/>
            </a:lnSpc>
            <a:spcBef>
              <a:spcPts val="0"/>
            </a:spcBef>
            <a:spcAft>
              <a:spcPts val="0"/>
            </a:spcAft>
          </a:pPr>
          <a:r>
            <a:rPr lang="en-US" sz="1000" baseline="0">
              <a:solidFill>
                <a:schemeClr val="lt1"/>
              </a:solidFill>
              <a:latin typeface="Arial" pitchFamily="34" charset="0"/>
              <a:ea typeface="+mn-ea"/>
              <a:cs typeface="Arial" pitchFamily="34" charset="0"/>
            </a:rPr>
            <a:t>Under Circular 123, for CIT incentives purpose, other income derived from different activities must be offset against corresponding expenses.  After offseting, net gain/loss can be offset against loss/gain of the main business activities which are enttiled to CIT incentives (except for income from project transfer, project implementing right transfer, right of exploration, exploitation, and processing of minerals).</a:t>
          </a:r>
          <a:endParaRPr lang="en-US" sz="1000" baseline="0">
            <a:latin typeface="Arial" pitchFamily="34" charset="0"/>
            <a:cs typeface="Arial"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5.xml"/><Relationship Id="rId1" Type="http://schemas.openxmlformats.org/officeDocument/2006/relationships/printerSettings" Target="../printerSettings/printerSettings6.bin"/><Relationship Id="rId4" Type="http://schemas.openxmlformats.org/officeDocument/2006/relationships/oleObject" Target="../embeddings/Microsoft_Office_Word_97_-_2003_Document1.doc"/></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7.bin"/></Relationships>
</file>

<file path=xl/worksheets/sheet1.xml><?xml version="1.0" encoding="utf-8"?>
<worksheet xmlns="http://schemas.openxmlformats.org/spreadsheetml/2006/main" xmlns:r="http://schemas.openxmlformats.org/officeDocument/2006/relationships">
  <dimension ref="A1:E82"/>
  <sheetViews>
    <sheetView view="pageBreakPreview" zoomScaleNormal="100" zoomScaleSheetLayoutView="100" workbookViewId="0">
      <selection activeCell="C18" sqref="C18"/>
    </sheetView>
  </sheetViews>
  <sheetFormatPr defaultRowHeight="12.75"/>
  <cols>
    <col min="1" max="1" width="5.7109375" style="345" customWidth="1"/>
    <col min="2" max="2" width="58.7109375" style="439" customWidth="1"/>
    <col min="3" max="3" width="15.85546875" style="558" customWidth="1"/>
    <col min="4" max="4" width="20.5703125" style="556" customWidth="1"/>
    <col min="5" max="5" width="12.140625" style="557" customWidth="1"/>
    <col min="6" max="6" width="9.140625" style="479"/>
    <col min="7" max="7" width="18.42578125" style="479" customWidth="1"/>
    <col min="8" max="16384" width="9.140625" style="479"/>
  </cols>
  <sheetData>
    <row r="1" spans="1:5" ht="21">
      <c r="A1" s="1" t="s">
        <v>0</v>
      </c>
      <c r="B1" s="479"/>
      <c r="C1" s="482"/>
      <c r="D1" s="483"/>
      <c r="E1" s="484"/>
    </row>
    <row r="2" spans="1:5">
      <c r="A2" s="481"/>
      <c r="B2" s="479"/>
      <c r="C2" s="485"/>
      <c r="D2" s="486"/>
      <c r="E2" s="487"/>
    </row>
    <row r="3" spans="1:5" s="449" customFormat="1">
      <c r="A3" s="488" t="s">
        <v>1</v>
      </c>
      <c r="C3" s="489"/>
      <c r="D3" s="490" t="s">
        <v>2</v>
      </c>
      <c r="E3" s="491" t="s">
        <v>3</v>
      </c>
    </row>
    <row r="4" spans="1:5" s="449" customFormat="1">
      <c r="A4" s="488" t="s">
        <v>4</v>
      </c>
      <c r="C4" s="489" t="s">
        <v>5</v>
      </c>
      <c r="D4" s="490"/>
      <c r="E4" s="478"/>
    </row>
    <row r="5" spans="1:5" s="394" customFormat="1">
      <c r="A5" s="492" t="s">
        <v>207</v>
      </c>
      <c r="B5" s="479"/>
      <c r="C5" s="489" t="s">
        <v>6</v>
      </c>
      <c r="D5" s="490"/>
      <c r="E5" s="478"/>
    </row>
    <row r="6" spans="1:5" s="394" customFormat="1">
      <c r="A6" s="492"/>
      <c r="B6" s="479"/>
      <c r="C6" s="493"/>
      <c r="D6" s="493"/>
      <c r="E6" s="493"/>
    </row>
    <row r="7" spans="1:5" s="394" customFormat="1">
      <c r="A7" s="492"/>
      <c r="B7" s="479"/>
      <c r="C7" s="493"/>
      <c r="D7" s="493"/>
      <c r="E7" s="493"/>
    </row>
    <row r="8" spans="1:5" s="394" customFormat="1">
      <c r="A8" s="492"/>
      <c r="B8" s="479"/>
      <c r="C8" s="493"/>
      <c r="D8" s="450" t="s">
        <v>208</v>
      </c>
      <c r="E8" s="630"/>
    </row>
    <row r="9" spans="1:5" s="495" customFormat="1">
      <c r="A9" s="636" t="s">
        <v>25</v>
      </c>
      <c r="B9" s="636" t="s">
        <v>18</v>
      </c>
      <c r="C9" s="638" t="s">
        <v>11</v>
      </c>
      <c r="D9" s="638"/>
      <c r="E9" s="636" t="s">
        <v>209</v>
      </c>
    </row>
    <row r="10" spans="1:5" s="492" customFormat="1">
      <c r="A10" s="637"/>
      <c r="B10" s="637"/>
      <c r="C10" s="494" t="s">
        <v>210</v>
      </c>
      <c r="D10" s="494" t="s">
        <v>211</v>
      </c>
      <c r="E10" s="637"/>
    </row>
    <row r="11" spans="1:5" s="500" customFormat="1">
      <c r="A11" s="371" t="s">
        <v>36</v>
      </c>
      <c r="B11" s="496" t="s">
        <v>212</v>
      </c>
      <c r="C11" s="497">
        <v>0</v>
      </c>
      <c r="D11" s="498">
        <v>0</v>
      </c>
      <c r="E11" s="499" t="s">
        <v>213</v>
      </c>
    </row>
    <row r="12" spans="1:5">
      <c r="A12" s="501"/>
      <c r="B12" s="502"/>
      <c r="C12" s="503"/>
      <c r="D12" s="504"/>
      <c r="E12" s="505"/>
    </row>
    <row r="13" spans="1:5" s="508" customFormat="1">
      <c r="A13" s="371" t="s">
        <v>44</v>
      </c>
      <c r="B13" s="496" t="s">
        <v>214</v>
      </c>
      <c r="C13" s="506"/>
      <c r="D13" s="507"/>
      <c r="E13" s="499"/>
    </row>
    <row r="14" spans="1:5">
      <c r="A14" s="501"/>
      <c r="B14" s="502"/>
      <c r="C14" s="503"/>
      <c r="D14" s="504"/>
      <c r="E14" s="505"/>
    </row>
    <row r="15" spans="1:5" s="500" customFormat="1">
      <c r="A15" s="509" t="s">
        <v>206</v>
      </c>
      <c r="B15" s="510" t="s">
        <v>215</v>
      </c>
      <c r="C15" s="511">
        <f>C17+C19+C21+C47+C49</f>
        <v>0</v>
      </c>
      <c r="D15" s="512">
        <f>D17+D19+D21+D47+D49</f>
        <v>0</v>
      </c>
      <c r="E15" s="513" t="s">
        <v>216</v>
      </c>
    </row>
    <row r="16" spans="1:5">
      <c r="A16" s="514"/>
      <c r="B16" s="515"/>
      <c r="C16" s="516"/>
      <c r="D16" s="517"/>
      <c r="E16" s="518"/>
    </row>
    <row r="17" spans="1:5">
      <c r="A17" s="440">
        <v>1</v>
      </c>
      <c r="B17" s="519" t="s">
        <v>217</v>
      </c>
      <c r="C17" s="520">
        <v>0</v>
      </c>
      <c r="D17" s="521">
        <v>0</v>
      </c>
      <c r="E17" s="522" t="s">
        <v>218</v>
      </c>
    </row>
    <row r="18" spans="1:5">
      <c r="A18" s="440"/>
      <c r="B18" s="519"/>
      <c r="C18" s="520"/>
      <c r="D18" s="521"/>
      <c r="E18" s="522"/>
    </row>
    <row r="19" spans="1:5">
      <c r="A19" s="440">
        <v>2</v>
      </c>
      <c r="B19" s="519" t="s">
        <v>219</v>
      </c>
      <c r="C19" s="520">
        <v>0</v>
      </c>
      <c r="D19" s="521">
        <v>0</v>
      </c>
      <c r="E19" s="522" t="s">
        <v>195</v>
      </c>
    </row>
    <row r="20" spans="1:5">
      <c r="A20" s="440"/>
      <c r="B20" s="519"/>
      <c r="C20" s="520"/>
      <c r="D20" s="521"/>
      <c r="E20" s="522"/>
    </row>
    <row r="21" spans="1:5">
      <c r="A21" s="440">
        <v>3</v>
      </c>
      <c r="B21" s="519" t="s">
        <v>196</v>
      </c>
      <c r="C21" s="520">
        <f>C23+C27+C29+C31+C33+C35+C37+C41+C43+C45</f>
        <v>0</v>
      </c>
      <c r="D21" s="523">
        <f>D23+D27+D29+D31+D33+D35+D37+D41+D43+D45</f>
        <v>0</v>
      </c>
      <c r="E21" s="522" t="s">
        <v>197</v>
      </c>
    </row>
    <row r="22" spans="1:5">
      <c r="A22" s="440"/>
      <c r="B22" s="519"/>
      <c r="C22" s="520"/>
      <c r="D22" s="521"/>
      <c r="E22" s="522"/>
    </row>
    <row r="23" spans="1:5">
      <c r="A23" s="440">
        <f>A21+0.1</f>
        <v>3.1</v>
      </c>
      <c r="B23" s="519" t="s">
        <v>651</v>
      </c>
      <c r="C23" s="520">
        <v>0</v>
      </c>
      <c r="D23" s="521">
        <f>ROUND(C23*$E$8,0)</f>
        <v>0</v>
      </c>
      <c r="E23" s="522" t="s">
        <v>220</v>
      </c>
    </row>
    <row r="24" spans="1:5" s="527" customFormat="1">
      <c r="A24" s="524"/>
      <c r="B24" s="525"/>
      <c r="C24" s="520"/>
      <c r="D24" s="521"/>
      <c r="E24" s="526"/>
    </row>
    <row r="25" spans="1:5" s="527" customFormat="1">
      <c r="A25" s="440">
        <v>3.2</v>
      </c>
      <c r="B25" s="528" t="s">
        <v>628</v>
      </c>
      <c r="C25" s="520">
        <v>0</v>
      </c>
      <c r="D25" s="521">
        <f>ROUND(C25*$E$8,0)</f>
        <v>0</v>
      </c>
      <c r="E25" s="522" t="s">
        <v>242</v>
      </c>
    </row>
    <row r="26" spans="1:5" s="527" customFormat="1">
      <c r="A26" s="524"/>
      <c r="B26" s="525"/>
      <c r="C26" s="520"/>
      <c r="D26" s="521"/>
      <c r="E26" s="526"/>
    </row>
    <row r="27" spans="1:5">
      <c r="A27" s="440">
        <f>A25+0.1</f>
        <v>3.3000000000000003</v>
      </c>
      <c r="B27" s="519" t="s">
        <v>48</v>
      </c>
      <c r="C27" s="520">
        <v>0</v>
      </c>
      <c r="D27" s="521">
        <f>ROUND(C27*$E$8,0)</f>
        <v>0</v>
      </c>
      <c r="E27" s="522" t="s">
        <v>222</v>
      </c>
    </row>
    <row r="28" spans="1:5" s="527" customFormat="1">
      <c r="A28" s="440"/>
      <c r="B28" s="525"/>
      <c r="C28" s="520"/>
      <c r="D28" s="521"/>
      <c r="E28" s="522"/>
    </row>
    <row r="29" spans="1:5">
      <c r="A29" s="440">
        <f>A27+0.1</f>
        <v>3.4000000000000004</v>
      </c>
      <c r="B29" s="528" t="s">
        <v>221</v>
      </c>
      <c r="C29" s="520">
        <v>0</v>
      </c>
      <c r="D29" s="521">
        <f>ROUND(C29*$E$8,0)</f>
        <v>0</v>
      </c>
      <c r="E29" s="522" t="s">
        <v>244</v>
      </c>
    </row>
    <row r="30" spans="1:5">
      <c r="A30" s="529"/>
      <c r="B30" s="528"/>
      <c r="C30" s="520"/>
      <c r="D30" s="521"/>
      <c r="E30" s="522"/>
    </row>
    <row r="31" spans="1:5">
      <c r="A31" s="440">
        <f>A29+0.1</f>
        <v>3.5000000000000004</v>
      </c>
      <c r="B31" s="528" t="s">
        <v>243</v>
      </c>
      <c r="C31" s="520">
        <v>0</v>
      </c>
      <c r="D31" s="521">
        <f>ROUND(C31*$E$8,0)</f>
        <v>0</v>
      </c>
      <c r="E31" s="522" t="s">
        <v>223</v>
      </c>
    </row>
    <row r="32" spans="1:5">
      <c r="A32" s="440"/>
      <c r="B32" s="528"/>
      <c r="C32" s="520"/>
      <c r="D32" s="521"/>
      <c r="E32" s="530"/>
    </row>
    <row r="33" spans="1:5">
      <c r="A33" s="440">
        <f>A31+0.1</f>
        <v>3.6000000000000005</v>
      </c>
      <c r="B33" s="528" t="s">
        <v>652</v>
      </c>
      <c r="C33" s="520">
        <v>0</v>
      </c>
      <c r="D33" s="521">
        <f>ROUND(C33*$E$8,0)</f>
        <v>0</v>
      </c>
      <c r="E33" s="522" t="s">
        <v>224</v>
      </c>
    </row>
    <row r="34" spans="1:5">
      <c r="A34" s="440"/>
      <c r="B34" s="528"/>
      <c r="C34" s="520"/>
      <c r="D34" s="521"/>
      <c r="E34" s="530"/>
    </row>
    <row r="35" spans="1:5">
      <c r="A35" s="440">
        <f>A33+0.1</f>
        <v>3.7000000000000006</v>
      </c>
      <c r="B35" s="528" t="s">
        <v>630</v>
      </c>
      <c r="C35" s="520">
        <v>0</v>
      </c>
      <c r="D35" s="521">
        <f>ROUND(C35*$E$8,0)</f>
        <v>0</v>
      </c>
      <c r="E35" s="522" t="s">
        <v>225</v>
      </c>
    </row>
    <row r="36" spans="1:5">
      <c r="A36" s="440"/>
      <c r="B36" s="528"/>
      <c r="C36" s="520"/>
      <c r="D36" s="521"/>
      <c r="E36" s="522"/>
    </row>
    <row r="37" spans="1:5">
      <c r="A37" s="440">
        <f>A35+0.1</f>
        <v>3.8000000000000007</v>
      </c>
      <c r="B37" s="528" t="s">
        <v>631</v>
      </c>
      <c r="C37" s="520">
        <v>0</v>
      </c>
      <c r="D37" s="521">
        <f>ROUND(C37*$E$8,0)</f>
        <v>0</v>
      </c>
      <c r="E37" s="522" t="s">
        <v>226</v>
      </c>
    </row>
    <row r="38" spans="1:5">
      <c r="A38" s="440"/>
      <c r="B38" s="528"/>
      <c r="C38" s="520"/>
      <c r="D38" s="521"/>
      <c r="E38" s="522"/>
    </row>
    <row r="39" spans="1:5">
      <c r="A39" s="440" t="s">
        <v>272</v>
      </c>
      <c r="B39" s="528" t="s">
        <v>629</v>
      </c>
      <c r="C39" s="520">
        <v>0</v>
      </c>
      <c r="D39" s="521">
        <f>ROUND(C39*$E$8,0)</f>
        <v>0</v>
      </c>
      <c r="E39" s="522" t="s">
        <v>227</v>
      </c>
    </row>
    <row r="40" spans="1:5">
      <c r="A40" s="440"/>
      <c r="B40" s="528"/>
      <c r="C40" s="520"/>
      <c r="D40" s="521"/>
      <c r="E40" s="522"/>
    </row>
    <row r="41" spans="1:5">
      <c r="A41" s="440" t="s">
        <v>246</v>
      </c>
      <c r="B41" s="528" t="s">
        <v>641</v>
      </c>
      <c r="C41" s="520">
        <v>0</v>
      </c>
      <c r="D41" s="521">
        <v>0</v>
      </c>
      <c r="E41" s="522" t="s">
        <v>245</v>
      </c>
    </row>
    <row r="42" spans="1:5">
      <c r="A42" s="440"/>
      <c r="B42" s="528"/>
      <c r="C42" s="520"/>
      <c r="D42" s="521"/>
      <c r="E42" s="522"/>
    </row>
    <row r="43" spans="1:5">
      <c r="A43" s="440">
        <v>3.11</v>
      </c>
      <c r="B43" s="528" t="s">
        <v>632</v>
      </c>
      <c r="C43" s="520"/>
      <c r="D43" s="521"/>
      <c r="E43" s="522" t="s">
        <v>644</v>
      </c>
    </row>
    <row r="44" spans="1:5">
      <c r="A44" s="440"/>
      <c r="B44" s="528"/>
      <c r="C44" s="520"/>
      <c r="D44" s="521"/>
      <c r="E44" s="522"/>
    </row>
    <row r="45" spans="1:5">
      <c r="A45" s="440">
        <v>3.12</v>
      </c>
      <c r="B45" s="528" t="s">
        <v>653</v>
      </c>
      <c r="C45" s="520"/>
      <c r="D45" s="521"/>
      <c r="E45" s="522" t="s">
        <v>645</v>
      </c>
    </row>
    <row r="46" spans="1:5">
      <c r="A46" s="440"/>
      <c r="B46" s="528"/>
      <c r="C46" s="520"/>
      <c r="D46" s="521"/>
      <c r="E46" s="522"/>
    </row>
    <row r="47" spans="1:5">
      <c r="A47" s="440">
        <v>4</v>
      </c>
      <c r="B47" s="528" t="s">
        <v>228</v>
      </c>
      <c r="C47" s="520">
        <v>0</v>
      </c>
      <c r="D47" s="521">
        <v>0</v>
      </c>
      <c r="E47" s="522" t="s">
        <v>229</v>
      </c>
    </row>
    <row r="48" spans="1:5">
      <c r="A48" s="440"/>
      <c r="B48" s="528"/>
      <c r="C48" s="520"/>
      <c r="D48" s="521"/>
      <c r="E48" s="522"/>
    </row>
    <row r="49" spans="1:5">
      <c r="A49" s="440">
        <v>5</v>
      </c>
      <c r="B49" s="528" t="s">
        <v>49</v>
      </c>
      <c r="C49" s="520">
        <f>SUM(C50:C56)</f>
        <v>0</v>
      </c>
      <c r="D49" s="521">
        <f>ROUND(C49*$E$8,0)</f>
        <v>0</v>
      </c>
      <c r="E49" s="522" t="s">
        <v>198</v>
      </c>
    </row>
    <row r="50" spans="1:5">
      <c r="A50" s="631"/>
      <c r="B50" s="632"/>
      <c r="C50" s="633"/>
      <c r="D50" s="634"/>
      <c r="E50" s="635"/>
    </row>
    <row r="51" spans="1:5">
      <c r="A51" s="631">
        <v>5.0999999999999996</v>
      </c>
      <c r="B51" s="632" t="s">
        <v>655</v>
      </c>
      <c r="C51" s="633">
        <v>0</v>
      </c>
      <c r="D51" s="634"/>
      <c r="E51" s="635" t="s">
        <v>646</v>
      </c>
    </row>
    <row r="52" spans="1:5">
      <c r="A52" s="631"/>
      <c r="B52" s="632"/>
      <c r="C52" s="633"/>
      <c r="D52" s="634"/>
      <c r="E52" s="635"/>
    </row>
    <row r="53" spans="1:5">
      <c r="A53" s="631">
        <v>5.2</v>
      </c>
      <c r="B53" s="632" t="s">
        <v>62</v>
      </c>
      <c r="C53" s="633">
        <v>0</v>
      </c>
      <c r="D53" s="634"/>
      <c r="E53" s="635" t="s">
        <v>647</v>
      </c>
    </row>
    <row r="54" spans="1:5">
      <c r="A54" s="631"/>
      <c r="B54" s="632"/>
      <c r="C54" s="633"/>
      <c r="D54" s="634"/>
      <c r="E54" s="635"/>
    </row>
    <row r="55" spans="1:5">
      <c r="A55" s="631">
        <v>5.3</v>
      </c>
      <c r="B55" s="632" t="s">
        <v>648</v>
      </c>
      <c r="C55" s="633">
        <v>0</v>
      </c>
      <c r="D55" s="634"/>
      <c r="E55" s="635"/>
    </row>
    <row r="56" spans="1:5">
      <c r="A56" s="531"/>
      <c r="B56" s="532"/>
      <c r="C56" s="533"/>
      <c r="D56" s="534"/>
      <c r="E56" s="535"/>
    </row>
    <row r="57" spans="1:5" s="500" customFormat="1">
      <c r="A57" s="509" t="s">
        <v>69</v>
      </c>
      <c r="B57" s="510" t="s">
        <v>230</v>
      </c>
      <c r="C57" s="536">
        <f>C59+C61+C63+C65</f>
        <v>0</v>
      </c>
      <c r="D57" s="537">
        <f>D59+D61+D63+D65</f>
        <v>0</v>
      </c>
      <c r="E57" s="513" t="s">
        <v>231</v>
      </c>
    </row>
    <row r="58" spans="1:5">
      <c r="A58" s="538"/>
      <c r="B58" s="539"/>
      <c r="C58" s="516"/>
      <c r="D58" s="540"/>
      <c r="E58" s="541"/>
    </row>
    <row r="59" spans="1:5">
      <c r="A59" s="542">
        <v>1</v>
      </c>
      <c r="B59" s="543" t="s">
        <v>352</v>
      </c>
      <c r="C59" s="520">
        <v>0</v>
      </c>
      <c r="D59" s="544">
        <v>0</v>
      </c>
      <c r="E59" s="545" t="s">
        <v>232</v>
      </c>
    </row>
    <row r="60" spans="1:5">
      <c r="A60" s="542"/>
      <c r="B60" s="543"/>
      <c r="C60" s="520"/>
      <c r="D60" s="544"/>
      <c r="E60" s="545"/>
    </row>
    <row r="61" spans="1:5">
      <c r="A61" s="542">
        <v>2</v>
      </c>
      <c r="B61" s="543" t="s">
        <v>233</v>
      </c>
      <c r="C61" s="520">
        <v>0</v>
      </c>
      <c r="D61" s="544">
        <v>0</v>
      </c>
      <c r="E61" s="545" t="s">
        <v>234</v>
      </c>
    </row>
    <row r="62" spans="1:5">
      <c r="A62" s="542"/>
      <c r="B62" s="543"/>
      <c r="C62" s="520"/>
      <c r="D62" s="544"/>
      <c r="E62" s="545"/>
    </row>
    <row r="63" spans="1:5">
      <c r="A63" s="542">
        <v>3</v>
      </c>
      <c r="B63" s="543" t="s">
        <v>235</v>
      </c>
      <c r="C63" s="520">
        <v>0</v>
      </c>
      <c r="D63" s="544">
        <v>0</v>
      </c>
      <c r="E63" s="545" t="s">
        <v>236</v>
      </c>
    </row>
    <row r="64" spans="1:5">
      <c r="A64" s="542"/>
      <c r="B64" s="543"/>
      <c r="C64" s="520"/>
      <c r="D64" s="544"/>
      <c r="E64" s="545"/>
    </row>
    <row r="65" spans="1:5">
      <c r="A65" s="542">
        <v>4</v>
      </c>
      <c r="B65" s="543" t="s">
        <v>237</v>
      </c>
      <c r="C65" s="520">
        <v>0</v>
      </c>
      <c r="D65" s="523">
        <f>D67+D69</f>
        <v>0</v>
      </c>
      <c r="E65" s="545" t="s">
        <v>194</v>
      </c>
    </row>
    <row r="66" spans="1:5">
      <c r="A66" s="542"/>
      <c r="B66" s="543"/>
      <c r="C66" s="520"/>
      <c r="D66" s="544"/>
      <c r="E66" s="545"/>
    </row>
    <row r="67" spans="1:5">
      <c r="A67" s="542">
        <f>A65+0.1</f>
        <v>4.0999999999999996</v>
      </c>
      <c r="B67" s="543" t="s">
        <v>650</v>
      </c>
      <c r="C67" s="520">
        <v>0</v>
      </c>
      <c r="D67" s="521">
        <f>ROUND(C67*$E$8,0)</f>
        <v>0</v>
      </c>
      <c r="E67" s="545" t="s">
        <v>238</v>
      </c>
    </row>
    <row r="68" spans="1:5">
      <c r="A68" s="546"/>
      <c r="B68" s="543"/>
      <c r="C68" s="520"/>
      <c r="D68" s="521"/>
      <c r="E68" s="545"/>
    </row>
    <row r="69" spans="1:5">
      <c r="A69" s="542">
        <f>A67+0.1</f>
        <v>4.1999999999999993</v>
      </c>
      <c r="B69" s="543" t="s">
        <v>49</v>
      </c>
      <c r="C69" s="520">
        <v>0</v>
      </c>
      <c r="D69" s="521">
        <f>ROUND(C69*$E$8,0)</f>
        <v>0</v>
      </c>
      <c r="E69" s="545" t="s">
        <v>239</v>
      </c>
    </row>
    <row r="70" spans="1:5">
      <c r="A70" s="547"/>
      <c r="B70" s="548"/>
      <c r="C70" s="533"/>
      <c r="D70" s="534"/>
      <c r="E70" s="549"/>
    </row>
    <row r="71" spans="1:5" s="508" customFormat="1">
      <c r="A71" s="371" t="s">
        <v>44</v>
      </c>
      <c r="B71" s="496" t="s">
        <v>240</v>
      </c>
      <c r="C71" s="506">
        <f>C11+C15-C57</f>
        <v>0</v>
      </c>
      <c r="D71" s="507">
        <f>D11+D15-D57</f>
        <v>0</v>
      </c>
      <c r="E71" s="499" t="s">
        <v>241</v>
      </c>
    </row>
    <row r="72" spans="1:5">
      <c r="A72" s="550"/>
      <c r="B72" s="551"/>
      <c r="C72" s="552"/>
      <c r="D72" s="553"/>
      <c r="E72" s="554"/>
    </row>
    <row r="73" spans="1:5">
      <c r="C73" s="555"/>
    </row>
    <row r="74" spans="1:5">
      <c r="C74" s="555"/>
    </row>
    <row r="75" spans="1:5">
      <c r="C75" s="555"/>
    </row>
    <row r="76" spans="1:5">
      <c r="C76" s="555"/>
    </row>
    <row r="77" spans="1:5">
      <c r="C77" s="555"/>
    </row>
    <row r="78" spans="1:5">
      <c r="C78" s="555"/>
    </row>
    <row r="79" spans="1:5">
      <c r="C79" s="555"/>
    </row>
    <row r="80" spans="1:5">
      <c r="C80" s="555"/>
    </row>
    <row r="81" spans="3:3">
      <c r="C81" s="555"/>
    </row>
    <row r="82" spans="3:3">
      <c r="C82" s="555"/>
    </row>
  </sheetData>
  <mergeCells count="4">
    <mergeCell ref="A9:A10"/>
    <mergeCell ref="B9:B10"/>
    <mergeCell ref="C9:D9"/>
    <mergeCell ref="E9:E10"/>
  </mergeCells>
  <pageMargins left="0.7" right="0.7" top="0.75" bottom="0.75" header="0.3" footer="0.3"/>
  <pageSetup scale="80" orientation="portrait" r:id="rId1"/>
  <colBreaks count="1" manualBreakCount="1">
    <brk id="5" max="1048575" man="1"/>
  </colBreaks>
</worksheet>
</file>

<file path=xl/worksheets/sheet2.xml><?xml version="1.0" encoding="utf-8"?>
<worksheet xmlns="http://schemas.openxmlformats.org/spreadsheetml/2006/main" xmlns:r="http://schemas.openxmlformats.org/officeDocument/2006/relationships">
  <dimension ref="A1:H69"/>
  <sheetViews>
    <sheetView zoomScaleNormal="100" zoomScaleSheetLayoutView="100" workbookViewId="0">
      <selection activeCell="F11" sqref="F11"/>
    </sheetView>
  </sheetViews>
  <sheetFormatPr defaultRowHeight="15"/>
  <cols>
    <col min="1" max="2" width="3.7109375" customWidth="1"/>
    <col min="3" max="3" width="42.7109375" customWidth="1"/>
    <col min="4" max="5" width="16.42578125" customWidth="1"/>
    <col min="6" max="6" width="20.85546875" customWidth="1"/>
    <col min="7" max="7" width="11.140625" customWidth="1"/>
    <col min="8" max="8" width="11.42578125" customWidth="1"/>
    <col min="257" max="258" width="3.7109375" customWidth="1"/>
    <col min="259" max="259" width="42.7109375" customWidth="1"/>
    <col min="260" max="261" width="16.42578125" customWidth="1"/>
    <col min="262" max="262" width="20.85546875" customWidth="1"/>
    <col min="263" max="263" width="11.140625" customWidth="1"/>
    <col min="264" max="264" width="11.42578125" customWidth="1"/>
    <col min="513" max="514" width="3.7109375" customWidth="1"/>
    <col min="515" max="515" width="42.7109375" customWidth="1"/>
    <col min="516" max="517" width="16.42578125" customWidth="1"/>
    <col min="518" max="518" width="20.85546875" customWidth="1"/>
    <col min="519" max="519" width="11.140625" customWidth="1"/>
    <col min="520" max="520" width="11.42578125" customWidth="1"/>
    <col min="769" max="770" width="3.7109375" customWidth="1"/>
    <col min="771" max="771" width="42.7109375" customWidth="1"/>
    <col min="772" max="773" width="16.42578125" customWidth="1"/>
    <col min="774" max="774" width="20.85546875" customWidth="1"/>
    <col min="775" max="775" width="11.140625" customWidth="1"/>
    <col min="776" max="776" width="11.42578125" customWidth="1"/>
    <col min="1025" max="1026" width="3.7109375" customWidth="1"/>
    <col min="1027" max="1027" width="42.7109375" customWidth="1"/>
    <col min="1028" max="1029" width="16.42578125" customWidth="1"/>
    <col min="1030" max="1030" width="20.85546875" customWidth="1"/>
    <col min="1031" max="1031" width="11.140625" customWidth="1"/>
    <col min="1032" max="1032" width="11.42578125" customWidth="1"/>
    <col min="1281" max="1282" width="3.7109375" customWidth="1"/>
    <col min="1283" max="1283" width="42.7109375" customWidth="1"/>
    <col min="1284" max="1285" width="16.42578125" customWidth="1"/>
    <col min="1286" max="1286" width="20.85546875" customWidth="1"/>
    <col min="1287" max="1287" width="11.140625" customWidth="1"/>
    <col min="1288" max="1288" width="11.42578125" customWidth="1"/>
    <col min="1537" max="1538" width="3.7109375" customWidth="1"/>
    <col min="1539" max="1539" width="42.7109375" customWidth="1"/>
    <col min="1540" max="1541" width="16.42578125" customWidth="1"/>
    <col min="1542" max="1542" width="20.85546875" customWidth="1"/>
    <col min="1543" max="1543" width="11.140625" customWidth="1"/>
    <col min="1544" max="1544" width="11.42578125" customWidth="1"/>
    <col min="1793" max="1794" width="3.7109375" customWidth="1"/>
    <col min="1795" max="1795" width="42.7109375" customWidth="1"/>
    <col min="1796" max="1797" width="16.42578125" customWidth="1"/>
    <col min="1798" max="1798" width="20.85546875" customWidth="1"/>
    <col min="1799" max="1799" width="11.140625" customWidth="1"/>
    <col min="1800" max="1800" width="11.42578125" customWidth="1"/>
    <col min="2049" max="2050" width="3.7109375" customWidth="1"/>
    <col min="2051" max="2051" width="42.7109375" customWidth="1"/>
    <col min="2052" max="2053" width="16.42578125" customWidth="1"/>
    <col min="2054" max="2054" width="20.85546875" customWidth="1"/>
    <col min="2055" max="2055" width="11.140625" customWidth="1"/>
    <col min="2056" max="2056" width="11.42578125" customWidth="1"/>
    <col min="2305" max="2306" width="3.7109375" customWidth="1"/>
    <col min="2307" max="2307" width="42.7109375" customWidth="1"/>
    <col min="2308" max="2309" width="16.42578125" customWidth="1"/>
    <col min="2310" max="2310" width="20.85546875" customWidth="1"/>
    <col min="2311" max="2311" width="11.140625" customWidth="1"/>
    <col min="2312" max="2312" width="11.42578125" customWidth="1"/>
    <col min="2561" max="2562" width="3.7109375" customWidth="1"/>
    <col min="2563" max="2563" width="42.7109375" customWidth="1"/>
    <col min="2564" max="2565" width="16.42578125" customWidth="1"/>
    <col min="2566" max="2566" width="20.85546875" customWidth="1"/>
    <col min="2567" max="2567" width="11.140625" customWidth="1"/>
    <col min="2568" max="2568" width="11.42578125" customWidth="1"/>
    <col min="2817" max="2818" width="3.7109375" customWidth="1"/>
    <col min="2819" max="2819" width="42.7109375" customWidth="1"/>
    <col min="2820" max="2821" width="16.42578125" customWidth="1"/>
    <col min="2822" max="2822" width="20.85546875" customWidth="1"/>
    <col min="2823" max="2823" width="11.140625" customWidth="1"/>
    <col min="2824" max="2824" width="11.42578125" customWidth="1"/>
    <col min="3073" max="3074" width="3.7109375" customWidth="1"/>
    <col min="3075" max="3075" width="42.7109375" customWidth="1"/>
    <col min="3076" max="3077" width="16.42578125" customWidth="1"/>
    <col min="3078" max="3078" width="20.85546875" customWidth="1"/>
    <col min="3079" max="3079" width="11.140625" customWidth="1"/>
    <col min="3080" max="3080" width="11.42578125" customWidth="1"/>
    <col min="3329" max="3330" width="3.7109375" customWidth="1"/>
    <col min="3331" max="3331" width="42.7109375" customWidth="1"/>
    <col min="3332" max="3333" width="16.42578125" customWidth="1"/>
    <col min="3334" max="3334" width="20.85546875" customWidth="1"/>
    <col min="3335" max="3335" width="11.140625" customWidth="1"/>
    <col min="3336" max="3336" width="11.42578125" customWidth="1"/>
    <col min="3585" max="3586" width="3.7109375" customWidth="1"/>
    <col min="3587" max="3587" width="42.7109375" customWidth="1"/>
    <col min="3588" max="3589" width="16.42578125" customWidth="1"/>
    <col min="3590" max="3590" width="20.85546875" customWidth="1"/>
    <col min="3591" max="3591" width="11.140625" customWidth="1"/>
    <col min="3592" max="3592" width="11.42578125" customWidth="1"/>
    <col min="3841" max="3842" width="3.7109375" customWidth="1"/>
    <col min="3843" max="3843" width="42.7109375" customWidth="1"/>
    <col min="3844" max="3845" width="16.42578125" customWidth="1"/>
    <col min="3846" max="3846" width="20.85546875" customWidth="1"/>
    <col min="3847" max="3847" width="11.140625" customWidth="1"/>
    <col min="3848" max="3848" width="11.42578125" customWidth="1"/>
    <col min="4097" max="4098" width="3.7109375" customWidth="1"/>
    <col min="4099" max="4099" width="42.7109375" customWidth="1"/>
    <col min="4100" max="4101" width="16.42578125" customWidth="1"/>
    <col min="4102" max="4102" width="20.85546875" customWidth="1"/>
    <col min="4103" max="4103" width="11.140625" customWidth="1"/>
    <col min="4104" max="4104" width="11.42578125" customWidth="1"/>
    <col min="4353" max="4354" width="3.7109375" customWidth="1"/>
    <col min="4355" max="4355" width="42.7109375" customWidth="1"/>
    <col min="4356" max="4357" width="16.42578125" customWidth="1"/>
    <col min="4358" max="4358" width="20.85546875" customWidth="1"/>
    <col min="4359" max="4359" width="11.140625" customWidth="1"/>
    <col min="4360" max="4360" width="11.42578125" customWidth="1"/>
    <col min="4609" max="4610" width="3.7109375" customWidth="1"/>
    <col min="4611" max="4611" width="42.7109375" customWidth="1"/>
    <col min="4612" max="4613" width="16.42578125" customWidth="1"/>
    <col min="4614" max="4614" width="20.85546875" customWidth="1"/>
    <col min="4615" max="4615" width="11.140625" customWidth="1"/>
    <col min="4616" max="4616" width="11.42578125" customWidth="1"/>
    <col min="4865" max="4866" width="3.7109375" customWidth="1"/>
    <col min="4867" max="4867" width="42.7109375" customWidth="1"/>
    <col min="4868" max="4869" width="16.42578125" customWidth="1"/>
    <col min="4870" max="4870" width="20.85546875" customWidth="1"/>
    <col min="4871" max="4871" width="11.140625" customWidth="1"/>
    <col min="4872" max="4872" width="11.42578125" customWidth="1"/>
    <col min="5121" max="5122" width="3.7109375" customWidth="1"/>
    <col min="5123" max="5123" width="42.7109375" customWidth="1"/>
    <col min="5124" max="5125" width="16.42578125" customWidth="1"/>
    <col min="5126" max="5126" width="20.85546875" customWidth="1"/>
    <col min="5127" max="5127" width="11.140625" customWidth="1"/>
    <col min="5128" max="5128" width="11.42578125" customWidth="1"/>
    <col min="5377" max="5378" width="3.7109375" customWidth="1"/>
    <col min="5379" max="5379" width="42.7109375" customWidth="1"/>
    <col min="5380" max="5381" width="16.42578125" customWidth="1"/>
    <col min="5382" max="5382" width="20.85546875" customWidth="1"/>
    <col min="5383" max="5383" width="11.140625" customWidth="1"/>
    <col min="5384" max="5384" width="11.42578125" customWidth="1"/>
    <col min="5633" max="5634" width="3.7109375" customWidth="1"/>
    <col min="5635" max="5635" width="42.7109375" customWidth="1"/>
    <col min="5636" max="5637" width="16.42578125" customWidth="1"/>
    <col min="5638" max="5638" width="20.85546875" customWidth="1"/>
    <col min="5639" max="5639" width="11.140625" customWidth="1"/>
    <col min="5640" max="5640" width="11.42578125" customWidth="1"/>
    <col min="5889" max="5890" width="3.7109375" customWidth="1"/>
    <col min="5891" max="5891" width="42.7109375" customWidth="1"/>
    <col min="5892" max="5893" width="16.42578125" customWidth="1"/>
    <col min="5894" max="5894" width="20.85546875" customWidth="1"/>
    <col min="5895" max="5895" width="11.140625" customWidth="1"/>
    <col min="5896" max="5896" width="11.42578125" customWidth="1"/>
    <col min="6145" max="6146" width="3.7109375" customWidth="1"/>
    <col min="6147" max="6147" width="42.7109375" customWidth="1"/>
    <col min="6148" max="6149" width="16.42578125" customWidth="1"/>
    <col min="6150" max="6150" width="20.85546875" customWidth="1"/>
    <col min="6151" max="6151" width="11.140625" customWidth="1"/>
    <col min="6152" max="6152" width="11.42578125" customWidth="1"/>
    <col min="6401" max="6402" width="3.7109375" customWidth="1"/>
    <col min="6403" max="6403" width="42.7109375" customWidth="1"/>
    <col min="6404" max="6405" width="16.42578125" customWidth="1"/>
    <col min="6406" max="6406" width="20.85546875" customWidth="1"/>
    <col min="6407" max="6407" width="11.140625" customWidth="1"/>
    <col min="6408" max="6408" width="11.42578125" customWidth="1"/>
    <col min="6657" max="6658" width="3.7109375" customWidth="1"/>
    <col min="6659" max="6659" width="42.7109375" customWidth="1"/>
    <col min="6660" max="6661" width="16.42578125" customWidth="1"/>
    <col min="6662" max="6662" width="20.85546875" customWidth="1"/>
    <col min="6663" max="6663" width="11.140625" customWidth="1"/>
    <col min="6664" max="6664" width="11.42578125" customWidth="1"/>
    <col min="6913" max="6914" width="3.7109375" customWidth="1"/>
    <col min="6915" max="6915" width="42.7109375" customWidth="1"/>
    <col min="6916" max="6917" width="16.42578125" customWidth="1"/>
    <col min="6918" max="6918" width="20.85546875" customWidth="1"/>
    <col min="6919" max="6919" width="11.140625" customWidth="1"/>
    <col min="6920" max="6920" width="11.42578125" customWidth="1"/>
    <col min="7169" max="7170" width="3.7109375" customWidth="1"/>
    <col min="7171" max="7171" width="42.7109375" customWidth="1"/>
    <col min="7172" max="7173" width="16.42578125" customWidth="1"/>
    <col min="7174" max="7174" width="20.85546875" customWidth="1"/>
    <col min="7175" max="7175" width="11.140625" customWidth="1"/>
    <col min="7176" max="7176" width="11.42578125" customWidth="1"/>
    <col min="7425" max="7426" width="3.7109375" customWidth="1"/>
    <col min="7427" max="7427" width="42.7109375" customWidth="1"/>
    <col min="7428" max="7429" width="16.42578125" customWidth="1"/>
    <col min="7430" max="7430" width="20.85546875" customWidth="1"/>
    <col min="7431" max="7431" width="11.140625" customWidth="1"/>
    <col min="7432" max="7432" width="11.42578125" customWidth="1"/>
    <col min="7681" max="7682" width="3.7109375" customWidth="1"/>
    <col min="7683" max="7683" width="42.7109375" customWidth="1"/>
    <col min="7684" max="7685" width="16.42578125" customWidth="1"/>
    <col min="7686" max="7686" width="20.85546875" customWidth="1"/>
    <col min="7687" max="7687" width="11.140625" customWidth="1"/>
    <col min="7688" max="7688" width="11.42578125" customWidth="1"/>
    <col min="7937" max="7938" width="3.7109375" customWidth="1"/>
    <col min="7939" max="7939" width="42.7109375" customWidth="1"/>
    <col min="7940" max="7941" width="16.42578125" customWidth="1"/>
    <col min="7942" max="7942" width="20.85546875" customWidth="1"/>
    <col min="7943" max="7943" width="11.140625" customWidth="1"/>
    <col min="7944" max="7944" width="11.42578125" customWidth="1"/>
    <col min="8193" max="8194" width="3.7109375" customWidth="1"/>
    <col min="8195" max="8195" width="42.7109375" customWidth="1"/>
    <col min="8196" max="8197" width="16.42578125" customWidth="1"/>
    <col min="8198" max="8198" width="20.85546875" customWidth="1"/>
    <col min="8199" max="8199" width="11.140625" customWidth="1"/>
    <col min="8200" max="8200" width="11.42578125" customWidth="1"/>
    <col min="8449" max="8450" width="3.7109375" customWidth="1"/>
    <col min="8451" max="8451" width="42.7109375" customWidth="1"/>
    <col min="8452" max="8453" width="16.42578125" customWidth="1"/>
    <col min="8454" max="8454" width="20.85546875" customWidth="1"/>
    <col min="8455" max="8455" width="11.140625" customWidth="1"/>
    <col min="8456" max="8456" width="11.42578125" customWidth="1"/>
    <col min="8705" max="8706" width="3.7109375" customWidth="1"/>
    <col min="8707" max="8707" width="42.7109375" customWidth="1"/>
    <col min="8708" max="8709" width="16.42578125" customWidth="1"/>
    <col min="8710" max="8710" width="20.85546875" customWidth="1"/>
    <col min="8711" max="8711" width="11.140625" customWidth="1"/>
    <col min="8712" max="8712" width="11.42578125" customWidth="1"/>
    <col min="8961" max="8962" width="3.7109375" customWidth="1"/>
    <col min="8963" max="8963" width="42.7109375" customWidth="1"/>
    <col min="8964" max="8965" width="16.42578125" customWidth="1"/>
    <col min="8966" max="8966" width="20.85546875" customWidth="1"/>
    <col min="8967" max="8967" width="11.140625" customWidth="1"/>
    <col min="8968" max="8968" width="11.42578125" customWidth="1"/>
    <col min="9217" max="9218" width="3.7109375" customWidth="1"/>
    <col min="9219" max="9219" width="42.7109375" customWidth="1"/>
    <col min="9220" max="9221" width="16.42578125" customWidth="1"/>
    <col min="9222" max="9222" width="20.85546875" customWidth="1"/>
    <col min="9223" max="9223" width="11.140625" customWidth="1"/>
    <col min="9224" max="9224" width="11.42578125" customWidth="1"/>
    <col min="9473" max="9474" width="3.7109375" customWidth="1"/>
    <col min="9475" max="9475" width="42.7109375" customWidth="1"/>
    <col min="9476" max="9477" width="16.42578125" customWidth="1"/>
    <col min="9478" max="9478" width="20.85546875" customWidth="1"/>
    <col min="9479" max="9479" width="11.140625" customWidth="1"/>
    <col min="9480" max="9480" width="11.42578125" customWidth="1"/>
    <col min="9729" max="9730" width="3.7109375" customWidth="1"/>
    <col min="9731" max="9731" width="42.7109375" customWidth="1"/>
    <col min="9732" max="9733" width="16.42578125" customWidth="1"/>
    <col min="9734" max="9734" width="20.85546875" customWidth="1"/>
    <col min="9735" max="9735" width="11.140625" customWidth="1"/>
    <col min="9736" max="9736" width="11.42578125" customWidth="1"/>
    <col min="9985" max="9986" width="3.7109375" customWidth="1"/>
    <col min="9987" max="9987" width="42.7109375" customWidth="1"/>
    <col min="9988" max="9989" width="16.42578125" customWidth="1"/>
    <col min="9990" max="9990" width="20.85546875" customWidth="1"/>
    <col min="9991" max="9991" width="11.140625" customWidth="1"/>
    <col min="9992" max="9992" width="11.42578125" customWidth="1"/>
    <col min="10241" max="10242" width="3.7109375" customWidth="1"/>
    <col min="10243" max="10243" width="42.7109375" customWidth="1"/>
    <col min="10244" max="10245" width="16.42578125" customWidth="1"/>
    <col min="10246" max="10246" width="20.85546875" customWidth="1"/>
    <col min="10247" max="10247" width="11.140625" customWidth="1"/>
    <col min="10248" max="10248" width="11.42578125" customWidth="1"/>
    <col min="10497" max="10498" width="3.7109375" customWidth="1"/>
    <col min="10499" max="10499" width="42.7109375" customWidth="1"/>
    <col min="10500" max="10501" width="16.42578125" customWidth="1"/>
    <col min="10502" max="10502" width="20.85546875" customWidth="1"/>
    <col min="10503" max="10503" width="11.140625" customWidth="1"/>
    <col min="10504" max="10504" width="11.42578125" customWidth="1"/>
    <col min="10753" max="10754" width="3.7109375" customWidth="1"/>
    <col min="10755" max="10755" width="42.7109375" customWidth="1"/>
    <col min="10756" max="10757" width="16.42578125" customWidth="1"/>
    <col min="10758" max="10758" width="20.85546875" customWidth="1"/>
    <col min="10759" max="10759" width="11.140625" customWidth="1"/>
    <col min="10760" max="10760" width="11.42578125" customWidth="1"/>
    <col min="11009" max="11010" width="3.7109375" customWidth="1"/>
    <col min="11011" max="11011" width="42.7109375" customWidth="1"/>
    <col min="11012" max="11013" width="16.42578125" customWidth="1"/>
    <col min="11014" max="11014" width="20.85546875" customWidth="1"/>
    <col min="11015" max="11015" width="11.140625" customWidth="1"/>
    <col min="11016" max="11016" width="11.42578125" customWidth="1"/>
    <col min="11265" max="11266" width="3.7109375" customWidth="1"/>
    <col min="11267" max="11267" width="42.7109375" customWidth="1"/>
    <col min="11268" max="11269" width="16.42578125" customWidth="1"/>
    <col min="11270" max="11270" width="20.85546875" customWidth="1"/>
    <col min="11271" max="11271" width="11.140625" customWidth="1"/>
    <col min="11272" max="11272" width="11.42578125" customWidth="1"/>
    <col min="11521" max="11522" width="3.7109375" customWidth="1"/>
    <col min="11523" max="11523" width="42.7109375" customWidth="1"/>
    <col min="11524" max="11525" width="16.42578125" customWidth="1"/>
    <col min="11526" max="11526" width="20.85546875" customWidth="1"/>
    <col min="11527" max="11527" width="11.140625" customWidth="1"/>
    <col min="11528" max="11528" width="11.42578125" customWidth="1"/>
    <col min="11777" max="11778" width="3.7109375" customWidth="1"/>
    <col min="11779" max="11779" width="42.7109375" customWidth="1"/>
    <col min="11780" max="11781" width="16.42578125" customWidth="1"/>
    <col min="11782" max="11782" width="20.85546875" customWidth="1"/>
    <col min="11783" max="11783" width="11.140625" customWidth="1"/>
    <col min="11784" max="11784" width="11.42578125" customWidth="1"/>
    <col min="12033" max="12034" width="3.7109375" customWidth="1"/>
    <col min="12035" max="12035" width="42.7109375" customWidth="1"/>
    <col min="12036" max="12037" width="16.42578125" customWidth="1"/>
    <col min="12038" max="12038" width="20.85546875" customWidth="1"/>
    <col min="12039" max="12039" width="11.140625" customWidth="1"/>
    <col min="12040" max="12040" width="11.42578125" customWidth="1"/>
    <col min="12289" max="12290" width="3.7109375" customWidth="1"/>
    <col min="12291" max="12291" width="42.7109375" customWidth="1"/>
    <col min="12292" max="12293" width="16.42578125" customWidth="1"/>
    <col min="12294" max="12294" width="20.85546875" customWidth="1"/>
    <col min="12295" max="12295" width="11.140625" customWidth="1"/>
    <col min="12296" max="12296" width="11.42578125" customWidth="1"/>
    <col min="12545" max="12546" width="3.7109375" customWidth="1"/>
    <col min="12547" max="12547" width="42.7109375" customWidth="1"/>
    <col min="12548" max="12549" width="16.42578125" customWidth="1"/>
    <col min="12550" max="12550" width="20.85546875" customWidth="1"/>
    <col min="12551" max="12551" width="11.140625" customWidth="1"/>
    <col min="12552" max="12552" width="11.42578125" customWidth="1"/>
    <col min="12801" max="12802" width="3.7109375" customWidth="1"/>
    <col min="12803" max="12803" width="42.7109375" customWidth="1"/>
    <col min="12804" max="12805" width="16.42578125" customWidth="1"/>
    <col min="12806" max="12806" width="20.85546875" customWidth="1"/>
    <col min="12807" max="12807" width="11.140625" customWidth="1"/>
    <col min="12808" max="12808" width="11.42578125" customWidth="1"/>
    <col min="13057" max="13058" width="3.7109375" customWidth="1"/>
    <col min="13059" max="13059" width="42.7109375" customWidth="1"/>
    <col min="13060" max="13061" width="16.42578125" customWidth="1"/>
    <col min="13062" max="13062" width="20.85546875" customWidth="1"/>
    <col min="13063" max="13063" width="11.140625" customWidth="1"/>
    <col min="13064" max="13064" width="11.42578125" customWidth="1"/>
    <col min="13313" max="13314" width="3.7109375" customWidth="1"/>
    <col min="13315" max="13315" width="42.7109375" customWidth="1"/>
    <col min="13316" max="13317" width="16.42578125" customWidth="1"/>
    <col min="13318" max="13318" width="20.85546875" customWidth="1"/>
    <col min="13319" max="13319" width="11.140625" customWidth="1"/>
    <col min="13320" max="13320" width="11.42578125" customWidth="1"/>
    <col min="13569" max="13570" width="3.7109375" customWidth="1"/>
    <col min="13571" max="13571" width="42.7109375" customWidth="1"/>
    <col min="13572" max="13573" width="16.42578125" customWidth="1"/>
    <col min="13574" max="13574" width="20.85546875" customWidth="1"/>
    <col min="13575" max="13575" width="11.140625" customWidth="1"/>
    <col min="13576" max="13576" width="11.42578125" customWidth="1"/>
    <col min="13825" max="13826" width="3.7109375" customWidth="1"/>
    <col min="13827" max="13827" width="42.7109375" customWidth="1"/>
    <col min="13828" max="13829" width="16.42578125" customWidth="1"/>
    <col min="13830" max="13830" width="20.85546875" customWidth="1"/>
    <col min="13831" max="13831" width="11.140625" customWidth="1"/>
    <col min="13832" max="13832" width="11.42578125" customWidth="1"/>
    <col min="14081" max="14082" width="3.7109375" customWidth="1"/>
    <col min="14083" max="14083" width="42.7109375" customWidth="1"/>
    <col min="14084" max="14085" width="16.42578125" customWidth="1"/>
    <col min="14086" max="14086" width="20.85546875" customWidth="1"/>
    <col min="14087" max="14087" width="11.140625" customWidth="1"/>
    <col min="14088" max="14088" width="11.42578125" customWidth="1"/>
    <col min="14337" max="14338" width="3.7109375" customWidth="1"/>
    <col min="14339" max="14339" width="42.7109375" customWidth="1"/>
    <col min="14340" max="14341" width="16.42578125" customWidth="1"/>
    <col min="14342" max="14342" width="20.85546875" customWidth="1"/>
    <col min="14343" max="14343" width="11.140625" customWidth="1"/>
    <col min="14344" max="14344" width="11.42578125" customWidth="1"/>
    <col min="14593" max="14594" width="3.7109375" customWidth="1"/>
    <col min="14595" max="14595" width="42.7109375" customWidth="1"/>
    <col min="14596" max="14597" width="16.42578125" customWidth="1"/>
    <col min="14598" max="14598" width="20.85546875" customWidth="1"/>
    <col min="14599" max="14599" width="11.140625" customWidth="1"/>
    <col min="14600" max="14600" width="11.42578125" customWidth="1"/>
    <col min="14849" max="14850" width="3.7109375" customWidth="1"/>
    <col min="14851" max="14851" width="42.7109375" customWidth="1"/>
    <col min="14852" max="14853" width="16.42578125" customWidth="1"/>
    <col min="14854" max="14854" width="20.85546875" customWidth="1"/>
    <col min="14855" max="14855" width="11.140625" customWidth="1"/>
    <col min="14856" max="14856" width="11.42578125" customWidth="1"/>
    <col min="15105" max="15106" width="3.7109375" customWidth="1"/>
    <col min="15107" max="15107" width="42.7109375" customWidth="1"/>
    <col min="15108" max="15109" width="16.42578125" customWidth="1"/>
    <col min="15110" max="15110" width="20.85546875" customWidth="1"/>
    <col min="15111" max="15111" width="11.140625" customWidth="1"/>
    <col min="15112" max="15112" width="11.42578125" customWidth="1"/>
    <col min="15361" max="15362" width="3.7109375" customWidth="1"/>
    <col min="15363" max="15363" width="42.7109375" customWidth="1"/>
    <col min="15364" max="15365" width="16.42578125" customWidth="1"/>
    <col min="15366" max="15366" width="20.85546875" customWidth="1"/>
    <col min="15367" max="15367" width="11.140625" customWidth="1"/>
    <col min="15368" max="15368" width="11.42578125" customWidth="1"/>
    <col min="15617" max="15618" width="3.7109375" customWidth="1"/>
    <col min="15619" max="15619" width="42.7109375" customWidth="1"/>
    <col min="15620" max="15621" width="16.42578125" customWidth="1"/>
    <col min="15622" max="15622" width="20.85546875" customWidth="1"/>
    <col min="15623" max="15623" width="11.140625" customWidth="1"/>
    <col min="15624" max="15624" width="11.42578125" customWidth="1"/>
    <col min="15873" max="15874" width="3.7109375" customWidth="1"/>
    <col min="15875" max="15875" width="42.7109375" customWidth="1"/>
    <col min="15876" max="15877" width="16.42578125" customWidth="1"/>
    <col min="15878" max="15878" width="20.85546875" customWidth="1"/>
    <col min="15879" max="15879" width="11.140625" customWidth="1"/>
    <col min="15880" max="15880" width="11.42578125" customWidth="1"/>
    <col min="16129" max="16130" width="3.7109375" customWidth="1"/>
    <col min="16131" max="16131" width="42.7109375" customWidth="1"/>
    <col min="16132" max="16133" width="16.42578125" customWidth="1"/>
    <col min="16134" max="16134" width="20.85546875" customWidth="1"/>
    <col min="16135" max="16135" width="11.140625" customWidth="1"/>
    <col min="16136" max="16136" width="11.42578125" customWidth="1"/>
  </cols>
  <sheetData>
    <row r="1" spans="1:8" ht="21">
      <c r="A1" s="1" t="s">
        <v>0</v>
      </c>
      <c r="B1" s="1"/>
      <c r="H1" s="2" t="s">
        <v>523</v>
      </c>
    </row>
    <row r="3" spans="1:8" ht="15.75">
      <c r="A3" s="287" t="s">
        <v>275</v>
      </c>
      <c r="B3" s="4"/>
      <c r="F3" s="85"/>
      <c r="G3" s="86" t="s">
        <v>2</v>
      </c>
      <c r="H3" s="86" t="s">
        <v>3</v>
      </c>
    </row>
    <row r="4" spans="1:8" ht="15.75">
      <c r="A4" s="287" t="s">
        <v>4</v>
      </c>
      <c r="B4" s="4"/>
      <c r="F4" s="85" t="s">
        <v>5</v>
      </c>
      <c r="G4" s="85"/>
      <c r="H4" s="85"/>
    </row>
    <row r="5" spans="1:8">
      <c r="A5" s="287"/>
      <c r="B5" s="7"/>
      <c r="F5" s="85" t="s">
        <v>6</v>
      </c>
      <c r="G5" s="85"/>
      <c r="H5" s="85"/>
    </row>
    <row r="6" spans="1:8">
      <c r="A6" s="287"/>
      <c r="B6" s="7"/>
      <c r="D6" s="8"/>
      <c r="E6" s="8"/>
      <c r="G6" s="8"/>
    </row>
    <row r="7" spans="1:8" ht="15.75">
      <c r="A7" s="287" t="s">
        <v>87</v>
      </c>
      <c r="B7" s="4"/>
    </row>
    <row r="8" spans="1:8" ht="15.75">
      <c r="A8" s="4"/>
      <c r="B8" s="4"/>
    </row>
    <row r="9" spans="1:8" ht="15.75">
      <c r="A9" s="4"/>
      <c r="B9" s="4"/>
    </row>
    <row r="10" spans="1:8" ht="15.75">
      <c r="A10" s="4"/>
      <c r="B10" s="4"/>
    </row>
    <row r="11" spans="1:8" ht="15.75">
      <c r="A11" s="4"/>
      <c r="B11" s="4"/>
    </row>
    <row r="12" spans="1:8" ht="15.75">
      <c r="A12" s="4"/>
      <c r="B12" s="4"/>
    </row>
    <row r="13" spans="1:8" ht="15.75">
      <c r="A13" s="4"/>
      <c r="B13" s="4"/>
    </row>
    <row r="14" spans="1:8" ht="15.75">
      <c r="A14" s="4"/>
      <c r="B14" s="4"/>
    </row>
    <row r="15" spans="1:8" ht="15.75">
      <c r="A15" s="4"/>
      <c r="B15" s="4"/>
    </row>
    <row r="16" spans="1:8" ht="15.75">
      <c r="A16" s="4"/>
      <c r="B16" s="4"/>
    </row>
    <row r="17" spans="1:8" ht="15.75">
      <c r="A17" s="4"/>
      <c r="B17" s="4"/>
    </row>
    <row r="26" spans="1:8">
      <c r="A26" s="9"/>
      <c r="B26" s="9"/>
      <c r="G26" s="2"/>
      <c r="H26" s="254"/>
    </row>
    <row r="27" spans="1:8">
      <c r="A27" s="9" t="s">
        <v>92</v>
      </c>
      <c r="B27" s="9"/>
      <c r="G27" s="2" t="s">
        <v>359</v>
      </c>
      <c r="H27" s="561" t="s">
        <v>353</v>
      </c>
    </row>
    <row r="28" spans="1:8" ht="15" customHeight="1">
      <c r="A28" s="2"/>
      <c r="B28" s="2"/>
      <c r="C28" s="2"/>
      <c r="D28" s="2"/>
      <c r="E28" s="2"/>
      <c r="F28" s="2"/>
      <c r="G28" s="2"/>
    </row>
    <row r="29" spans="1:8" ht="15" customHeight="1">
      <c r="A29" s="244">
        <v>1.1000000000000001</v>
      </c>
      <c r="B29" s="243" t="s">
        <v>357</v>
      </c>
      <c r="D29" s="242"/>
      <c r="E29" s="242"/>
      <c r="F29" s="242"/>
      <c r="G29" s="123" t="s">
        <v>24</v>
      </c>
      <c r="H29" s="123" t="s">
        <v>24</v>
      </c>
    </row>
    <row r="30" spans="1:8" s="97" customFormat="1" ht="15" customHeight="1">
      <c r="A30" s="244"/>
      <c r="B30" s="243" t="s">
        <v>658</v>
      </c>
      <c r="D30" s="245"/>
      <c r="E30" s="245"/>
      <c r="F30" s="245"/>
      <c r="G30" s="245"/>
    </row>
    <row r="31" spans="1:8" s="97" customFormat="1" ht="15" customHeight="1">
      <c r="A31" s="244"/>
      <c r="B31" s="243" t="s">
        <v>358</v>
      </c>
      <c r="D31" s="245"/>
      <c r="E31" s="245"/>
      <c r="F31" s="245"/>
      <c r="G31" s="245"/>
    </row>
    <row r="32" spans="1:8" s="97" customFormat="1" ht="15" customHeight="1">
      <c r="A32" s="244"/>
      <c r="B32" s="562"/>
      <c r="D32" s="245"/>
      <c r="E32" s="245"/>
      <c r="F32" s="245"/>
      <c r="G32" s="245"/>
    </row>
    <row r="33" spans="1:8" s="97" customFormat="1" ht="15" customHeight="1">
      <c r="A33" s="244"/>
      <c r="B33" s="246"/>
      <c r="D33" s="245"/>
      <c r="E33" s="245"/>
      <c r="F33" s="245"/>
      <c r="G33" s="245"/>
    </row>
    <row r="34" spans="1:8" ht="15" customHeight="1">
      <c r="A34" s="244">
        <v>1.2</v>
      </c>
      <c r="B34" s="243" t="s">
        <v>659</v>
      </c>
      <c r="D34" s="242"/>
      <c r="E34" s="242"/>
      <c r="F34" s="242"/>
      <c r="G34" s="123"/>
      <c r="H34" s="123"/>
    </row>
    <row r="35" spans="1:8" ht="15" customHeight="1">
      <c r="A35" s="244"/>
      <c r="B35" s="243" t="s">
        <v>360</v>
      </c>
      <c r="D35" s="242"/>
      <c r="E35" s="242"/>
      <c r="F35" s="242"/>
      <c r="G35" s="123"/>
      <c r="H35" s="123"/>
    </row>
    <row r="36" spans="1:8" ht="15" customHeight="1">
      <c r="A36" s="244"/>
      <c r="B36" s="454" t="s">
        <v>361</v>
      </c>
      <c r="D36" s="242"/>
      <c r="E36" s="242"/>
      <c r="F36" s="242"/>
      <c r="G36" s="123" t="s">
        <v>24</v>
      </c>
      <c r="H36" s="123" t="s">
        <v>24</v>
      </c>
    </row>
    <row r="37" spans="1:8" ht="15" customHeight="1">
      <c r="A37" s="244"/>
      <c r="B37" s="454" t="s">
        <v>362</v>
      </c>
      <c r="D37" s="242"/>
      <c r="E37" s="242"/>
      <c r="F37" s="242"/>
      <c r="G37" s="123" t="s">
        <v>24</v>
      </c>
      <c r="H37" s="123" t="s">
        <v>24</v>
      </c>
    </row>
    <row r="38" spans="1:8" ht="15" customHeight="1">
      <c r="A38" s="244"/>
      <c r="B38" s="562"/>
      <c r="D38" s="242"/>
      <c r="E38" s="242"/>
      <c r="F38" s="242"/>
      <c r="G38" s="242"/>
    </row>
    <row r="39" spans="1:8" ht="15" customHeight="1">
      <c r="A39" s="244"/>
      <c r="B39" s="243"/>
      <c r="D39" s="242"/>
      <c r="E39" s="242"/>
      <c r="F39" s="242"/>
      <c r="G39" s="242"/>
    </row>
    <row r="40" spans="1:8" ht="15" customHeight="1">
      <c r="A40" s="244">
        <v>1.3</v>
      </c>
      <c r="B40" s="243" t="s">
        <v>660</v>
      </c>
      <c r="D40" s="242"/>
      <c r="E40" s="242"/>
      <c r="F40" s="242"/>
      <c r="G40" s="123" t="s">
        <v>24</v>
      </c>
      <c r="H40" s="123" t="s">
        <v>24</v>
      </c>
    </row>
    <row r="41" spans="1:8" ht="15" customHeight="1">
      <c r="A41" s="244"/>
      <c r="B41" s="243" t="s">
        <v>661</v>
      </c>
      <c r="D41" s="242"/>
      <c r="E41" s="242"/>
      <c r="F41" s="242"/>
      <c r="G41" s="242"/>
    </row>
    <row r="42" spans="1:8" ht="15" customHeight="1">
      <c r="A42" s="244"/>
      <c r="B42" s="243" t="s">
        <v>356</v>
      </c>
      <c r="D42" s="242"/>
      <c r="E42" s="242"/>
      <c r="F42" s="242"/>
      <c r="G42" s="242"/>
    </row>
    <row r="43" spans="1:8" ht="15" customHeight="1">
      <c r="A43" s="244"/>
      <c r="B43" s="243" t="s">
        <v>247</v>
      </c>
      <c r="D43" s="242"/>
      <c r="E43" s="242"/>
      <c r="F43" s="242"/>
      <c r="G43" s="242"/>
    </row>
    <row r="44" spans="1:8" ht="15" customHeight="1">
      <c r="A44" s="244"/>
      <c r="B44" s="562"/>
      <c r="D44" s="242"/>
      <c r="E44" s="242"/>
      <c r="F44" s="242"/>
      <c r="G44" s="242"/>
    </row>
    <row r="45" spans="1:8" ht="15" customHeight="1">
      <c r="A45" s="244"/>
      <c r="B45" s="243"/>
      <c r="D45" s="242"/>
      <c r="E45" s="242"/>
      <c r="F45" s="242"/>
      <c r="G45" s="242"/>
    </row>
    <row r="46" spans="1:8" ht="15" customHeight="1">
      <c r="A46" s="244">
        <v>1.4</v>
      </c>
      <c r="B46" s="243" t="s">
        <v>249</v>
      </c>
      <c r="D46" s="242"/>
      <c r="E46" s="242"/>
      <c r="F46" s="242"/>
      <c r="G46" s="123"/>
      <c r="H46" s="123"/>
    </row>
    <row r="47" spans="1:8" ht="15" customHeight="1">
      <c r="A47" s="244"/>
      <c r="B47" s="454" t="s">
        <v>524</v>
      </c>
      <c r="D47" s="242"/>
      <c r="E47" s="242"/>
      <c r="F47" s="242"/>
      <c r="G47" s="123" t="s">
        <v>24</v>
      </c>
      <c r="H47" s="123" t="s">
        <v>24</v>
      </c>
    </row>
    <row r="48" spans="1:8" ht="15" customHeight="1">
      <c r="A48" s="244"/>
      <c r="B48" s="454" t="s">
        <v>248</v>
      </c>
      <c r="D48" s="242"/>
      <c r="E48" s="242"/>
      <c r="F48" s="242"/>
      <c r="G48" s="123" t="s">
        <v>24</v>
      </c>
      <c r="H48" s="123" t="s">
        <v>24</v>
      </c>
    </row>
    <row r="49" spans="1:8" ht="15" customHeight="1">
      <c r="A49" s="244"/>
      <c r="B49" s="562"/>
      <c r="D49" s="242"/>
      <c r="E49" s="242"/>
      <c r="F49" s="242"/>
      <c r="G49" s="242"/>
    </row>
    <row r="50" spans="1:8" ht="15" customHeight="1">
      <c r="A50" s="244"/>
      <c r="B50" s="454"/>
      <c r="D50" s="242"/>
      <c r="E50" s="242"/>
      <c r="F50" s="242"/>
      <c r="G50" s="242"/>
    </row>
    <row r="51" spans="1:8" ht="15" customHeight="1">
      <c r="A51" s="244">
        <v>1.5</v>
      </c>
      <c r="B51" s="243" t="s">
        <v>363</v>
      </c>
      <c r="D51" s="242"/>
      <c r="E51" s="242"/>
      <c r="F51" s="242"/>
      <c r="G51" s="123"/>
      <c r="H51" s="123"/>
    </row>
    <row r="52" spans="1:8" ht="15" customHeight="1">
      <c r="A52" s="244"/>
      <c r="B52" s="454" t="s">
        <v>364</v>
      </c>
      <c r="D52" s="242"/>
      <c r="E52" s="242"/>
      <c r="F52" s="242"/>
      <c r="G52" s="123" t="s">
        <v>24</v>
      </c>
      <c r="H52" s="123" t="s">
        <v>24</v>
      </c>
    </row>
    <row r="53" spans="1:8" ht="15" customHeight="1">
      <c r="A53" s="244"/>
      <c r="B53" s="454" t="s">
        <v>365</v>
      </c>
      <c r="D53" s="242"/>
      <c r="E53" s="242"/>
      <c r="F53" s="242"/>
      <c r="G53" s="123" t="s">
        <v>24</v>
      </c>
      <c r="H53" s="123" t="s">
        <v>24</v>
      </c>
    </row>
    <row r="54" spans="1:8" ht="15" customHeight="1">
      <c r="A54" s="244"/>
      <c r="B54" s="243" t="s">
        <v>250</v>
      </c>
      <c r="D54" s="242"/>
      <c r="E54" s="242"/>
      <c r="F54" s="242"/>
      <c r="G54" s="242"/>
      <c r="H54" s="252"/>
    </row>
    <row r="55" spans="1:8" ht="15" customHeight="1">
      <c r="A55" s="244"/>
      <c r="B55" s="562" t="s">
        <v>415</v>
      </c>
      <c r="D55" s="242"/>
      <c r="E55" s="242"/>
      <c r="F55" s="242"/>
      <c r="G55" s="242"/>
      <c r="H55" s="252"/>
    </row>
    <row r="56" spans="1:8" ht="15" customHeight="1">
      <c r="A56" s="244"/>
      <c r="B56" s="244"/>
      <c r="C56" s="243"/>
      <c r="D56" s="242"/>
      <c r="E56" s="242"/>
      <c r="F56" s="242"/>
      <c r="G56" s="242"/>
      <c r="H56" s="123"/>
    </row>
    <row r="57" spans="1:8" s="90" customFormat="1" ht="15" customHeight="1">
      <c r="A57" s="9" t="s">
        <v>8</v>
      </c>
      <c r="B57" s="9"/>
    </row>
    <row r="58" spans="1:8" s="90" customFormat="1" ht="15" customHeight="1"/>
    <row r="59" spans="1:8" s="90" customFormat="1" ht="15" customHeight="1">
      <c r="B59" s="256" t="s">
        <v>9</v>
      </c>
      <c r="C59" s="576" t="s">
        <v>10</v>
      </c>
      <c r="D59" s="576" t="s">
        <v>11</v>
      </c>
      <c r="E59" s="577" t="s">
        <v>25</v>
      </c>
      <c r="F59" s="639" t="s">
        <v>66</v>
      </c>
      <c r="G59" s="640"/>
    </row>
    <row r="60" spans="1:8" s="90" customFormat="1" ht="9.9499999999999993" customHeight="1">
      <c r="B60" s="269"/>
      <c r="C60" s="269"/>
      <c r="D60" s="269"/>
      <c r="E60" s="269"/>
      <c r="F60" s="269"/>
      <c r="G60" s="270"/>
    </row>
    <row r="61" spans="1:8" s="95" customFormat="1" ht="15" customHeight="1">
      <c r="B61" s="106">
        <v>1</v>
      </c>
      <c r="C61" s="279" t="s">
        <v>367</v>
      </c>
      <c r="D61" s="142"/>
      <c r="E61" s="251"/>
      <c r="F61" s="251"/>
      <c r="G61" s="251"/>
    </row>
    <row r="62" spans="1:8" s="95" customFormat="1" ht="15" customHeight="1">
      <c r="B62" s="106">
        <v>2</v>
      </c>
      <c r="C62" s="279" t="s">
        <v>366</v>
      </c>
      <c r="D62" s="142"/>
      <c r="E62" s="251"/>
      <c r="F62" s="251"/>
      <c r="G62" s="251"/>
    </row>
    <row r="63" spans="1:8" s="95" customFormat="1" ht="15" customHeight="1">
      <c r="B63" s="106">
        <v>3</v>
      </c>
      <c r="C63" s="279" t="s">
        <v>368</v>
      </c>
      <c r="D63" s="142"/>
      <c r="E63" s="251"/>
      <c r="F63" s="251"/>
      <c r="G63" s="251"/>
    </row>
    <row r="64" spans="1:8" s="95" customFormat="1" ht="9.9499999999999993" customHeight="1">
      <c r="B64" s="102"/>
      <c r="C64" s="103"/>
      <c r="D64" s="104"/>
      <c r="E64" s="100"/>
      <c r="F64" s="100"/>
      <c r="G64" s="100"/>
    </row>
    <row r="65" spans="1:7" s="90" customFormat="1" ht="15" customHeight="1">
      <c r="B65" s="259"/>
      <c r="C65" s="260" t="s">
        <v>14</v>
      </c>
      <c r="D65" s="261"/>
      <c r="E65" s="262"/>
      <c r="F65" s="263"/>
      <c r="G65" s="263"/>
    </row>
    <row r="66" spans="1:7" s="90" customFormat="1" ht="15" customHeight="1">
      <c r="A66" s="92"/>
      <c r="B66" s="92"/>
      <c r="C66" s="18"/>
      <c r="D66" s="19"/>
      <c r="E66" s="19"/>
      <c r="F66" s="93"/>
    </row>
    <row r="67" spans="1:7" s="95" customFormat="1" ht="15" customHeight="1">
      <c r="A67" s="9" t="s">
        <v>15</v>
      </c>
      <c r="B67" s="9"/>
    </row>
    <row r="68" spans="1:7" s="95" customFormat="1" ht="15" customHeight="1">
      <c r="A68" s="95" t="s">
        <v>369</v>
      </c>
    </row>
    <row r="69" spans="1:7">
      <c r="A69" s="20"/>
      <c r="B69" s="20"/>
      <c r="C69" s="20"/>
    </row>
  </sheetData>
  <mergeCells count="1">
    <mergeCell ref="F59:G59"/>
  </mergeCells>
  <printOptions horizontalCentered="1"/>
  <pageMargins left="0.2" right="0.2" top="0.5" bottom="0.5" header="0.3" footer="0.3"/>
  <pageSetup paperSize="9" scale="79" orientation="portrait" r:id="rId1"/>
  <rowBreaks count="1" manualBreakCount="1">
    <brk id="56" max="7" man="1"/>
  </rowBreaks>
  <drawing r:id="rId2"/>
</worksheet>
</file>

<file path=xl/worksheets/sheet3.xml><?xml version="1.0" encoding="utf-8"?>
<worksheet xmlns="http://schemas.openxmlformats.org/spreadsheetml/2006/main" xmlns:r="http://schemas.openxmlformats.org/officeDocument/2006/relationships">
  <dimension ref="A1:F31"/>
  <sheetViews>
    <sheetView view="pageBreakPreview" zoomScaleNormal="100" zoomScaleSheetLayoutView="100" workbookViewId="0">
      <selection activeCell="C17" sqref="C17"/>
    </sheetView>
  </sheetViews>
  <sheetFormatPr defaultColWidth="31.140625" defaultRowHeight="15"/>
  <cols>
    <col min="1" max="2" width="3.7109375" customWidth="1"/>
    <col min="3" max="3" width="78.42578125" customWidth="1"/>
    <col min="4" max="4" width="12.42578125" customWidth="1"/>
    <col min="5" max="5" width="11" customWidth="1"/>
    <col min="6" max="6" width="11.42578125" customWidth="1"/>
    <col min="7" max="254" width="9.140625" customWidth="1"/>
    <col min="255" max="255" width="5.140625" customWidth="1"/>
    <col min="257" max="258" width="3.7109375" customWidth="1"/>
    <col min="259" max="259" width="78.42578125" customWidth="1"/>
    <col min="260" max="260" width="12.42578125" customWidth="1"/>
    <col min="261" max="261" width="11" customWidth="1"/>
    <col min="262" max="262" width="11.42578125" customWidth="1"/>
    <col min="263" max="510" width="9.140625" customWidth="1"/>
    <col min="511" max="511" width="5.140625" customWidth="1"/>
    <col min="513" max="514" width="3.7109375" customWidth="1"/>
    <col min="515" max="515" width="78.42578125" customWidth="1"/>
    <col min="516" max="516" width="12.42578125" customWidth="1"/>
    <col min="517" max="517" width="11" customWidth="1"/>
    <col min="518" max="518" width="11.42578125" customWidth="1"/>
    <col min="519" max="766" width="9.140625" customWidth="1"/>
    <col min="767" max="767" width="5.140625" customWidth="1"/>
    <col min="769" max="770" width="3.7109375" customWidth="1"/>
    <col min="771" max="771" width="78.42578125" customWidth="1"/>
    <col min="772" max="772" width="12.42578125" customWidth="1"/>
    <col min="773" max="773" width="11" customWidth="1"/>
    <col min="774" max="774" width="11.42578125" customWidth="1"/>
    <col min="775" max="1022" width="9.140625" customWidth="1"/>
    <col min="1023" max="1023" width="5.140625" customWidth="1"/>
    <col min="1025" max="1026" width="3.7109375" customWidth="1"/>
    <col min="1027" max="1027" width="78.42578125" customWidth="1"/>
    <col min="1028" max="1028" width="12.42578125" customWidth="1"/>
    <col min="1029" max="1029" width="11" customWidth="1"/>
    <col min="1030" max="1030" width="11.42578125" customWidth="1"/>
    <col min="1031" max="1278" width="9.140625" customWidth="1"/>
    <col min="1279" max="1279" width="5.140625" customWidth="1"/>
    <col min="1281" max="1282" width="3.7109375" customWidth="1"/>
    <col min="1283" max="1283" width="78.42578125" customWidth="1"/>
    <col min="1284" max="1284" width="12.42578125" customWidth="1"/>
    <col min="1285" max="1285" width="11" customWidth="1"/>
    <col min="1286" max="1286" width="11.42578125" customWidth="1"/>
    <col min="1287" max="1534" width="9.140625" customWidth="1"/>
    <col min="1535" max="1535" width="5.140625" customWidth="1"/>
    <col min="1537" max="1538" width="3.7109375" customWidth="1"/>
    <col min="1539" max="1539" width="78.42578125" customWidth="1"/>
    <col min="1540" max="1540" width="12.42578125" customWidth="1"/>
    <col min="1541" max="1541" width="11" customWidth="1"/>
    <col min="1542" max="1542" width="11.42578125" customWidth="1"/>
    <col min="1543" max="1790" width="9.140625" customWidth="1"/>
    <col min="1791" max="1791" width="5.140625" customWidth="1"/>
    <col min="1793" max="1794" width="3.7109375" customWidth="1"/>
    <col min="1795" max="1795" width="78.42578125" customWidth="1"/>
    <col min="1796" max="1796" width="12.42578125" customWidth="1"/>
    <col min="1797" max="1797" width="11" customWidth="1"/>
    <col min="1798" max="1798" width="11.42578125" customWidth="1"/>
    <col min="1799" max="2046" width="9.140625" customWidth="1"/>
    <col min="2047" max="2047" width="5.140625" customWidth="1"/>
    <col min="2049" max="2050" width="3.7109375" customWidth="1"/>
    <col min="2051" max="2051" width="78.42578125" customWidth="1"/>
    <col min="2052" max="2052" width="12.42578125" customWidth="1"/>
    <col min="2053" max="2053" width="11" customWidth="1"/>
    <col min="2054" max="2054" width="11.42578125" customWidth="1"/>
    <col min="2055" max="2302" width="9.140625" customWidth="1"/>
    <col min="2303" max="2303" width="5.140625" customWidth="1"/>
    <col min="2305" max="2306" width="3.7109375" customWidth="1"/>
    <col min="2307" max="2307" width="78.42578125" customWidth="1"/>
    <col min="2308" max="2308" width="12.42578125" customWidth="1"/>
    <col min="2309" max="2309" width="11" customWidth="1"/>
    <col min="2310" max="2310" width="11.42578125" customWidth="1"/>
    <col min="2311" max="2558" width="9.140625" customWidth="1"/>
    <col min="2559" max="2559" width="5.140625" customWidth="1"/>
    <col min="2561" max="2562" width="3.7109375" customWidth="1"/>
    <col min="2563" max="2563" width="78.42578125" customWidth="1"/>
    <col min="2564" max="2564" width="12.42578125" customWidth="1"/>
    <col min="2565" max="2565" width="11" customWidth="1"/>
    <col min="2566" max="2566" width="11.42578125" customWidth="1"/>
    <col min="2567" max="2814" width="9.140625" customWidth="1"/>
    <col min="2815" max="2815" width="5.140625" customWidth="1"/>
    <col min="2817" max="2818" width="3.7109375" customWidth="1"/>
    <col min="2819" max="2819" width="78.42578125" customWidth="1"/>
    <col min="2820" max="2820" width="12.42578125" customWidth="1"/>
    <col min="2821" max="2821" width="11" customWidth="1"/>
    <col min="2822" max="2822" width="11.42578125" customWidth="1"/>
    <col min="2823" max="3070" width="9.140625" customWidth="1"/>
    <col min="3071" max="3071" width="5.140625" customWidth="1"/>
    <col min="3073" max="3074" width="3.7109375" customWidth="1"/>
    <col min="3075" max="3075" width="78.42578125" customWidth="1"/>
    <col min="3076" max="3076" width="12.42578125" customWidth="1"/>
    <col min="3077" max="3077" width="11" customWidth="1"/>
    <col min="3078" max="3078" width="11.42578125" customWidth="1"/>
    <col min="3079" max="3326" width="9.140625" customWidth="1"/>
    <col min="3327" max="3327" width="5.140625" customWidth="1"/>
    <col min="3329" max="3330" width="3.7109375" customWidth="1"/>
    <col min="3331" max="3331" width="78.42578125" customWidth="1"/>
    <col min="3332" max="3332" width="12.42578125" customWidth="1"/>
    <col min="3333" max="3333" width="11" customWidth="1"/>
    <col min="3334" max="3334" width="11.42578125" customWidth="1"/>
    <col min="3335" max="3582" width="9.140625" customWidth="1"/>
    <col min="3583" max="3583" width="5.140625" customWidth="1"/>
    <col min="3585" max="3586" width="3.7109375" customWidth="1"/>
    <col min="3587" max="3587" width="78.42578125" customWidth="1"/>
    <col min="3588" max="3588" width="12.42578125" customWidth="1"/>
    <col min="3589" max="3589" width="11" customWidth="1"/>
    <col min="3590" max="3590" width="11.42578125" customWidth="1"/>
    <col min="3591" max="3838" width="9.140625" customWidth="1"/>
    <col min="3839" max="3839" width="5.140625" customWidth="1"/>
    <col min="3841" max="3842" width="3.7109375" customWidth="1"/>
    <col min="3843" max="3843" width="78.42578125" customWidth="1"/>
    <col min="3844" max="3844" width="12.42578125" customWidth="1"/>
    <col min="3845" max="3845" width="11" customWidth="1"/>
    <col min="3846" max="3846" width="11.42578125" customWidth="1"/>
    <col min="3847" max="4094" width="9.140625" customWidth="1"/>
    <col min="4095" max="4095" width="5.140625" customWidth="1"/>
    <col min="4097" max="4098" width="3.7109375" customWidth="1"/>
    <col min="4099" max="4099" width="78.42578125" customWidth="1"/>
    <col min="4100" max="4100" width="12.42578125" customWidth="1"/>
    <col min="4101" max="4101" width="11" customWidth="1"/>
    <col min="4102" max="4102" width="11.42578125" customWidth="1"/>
    <col min="4103" max="4350" width="9.140625" customWidth="1"/>
    <col min="4351" max="4351" width="5.140625" customWidth="1"/>
    <col min="4353" max="4354" width="3.7109375" customWidth="1"/>
    <col min="4355" max="4355" width="78.42578125" customWidth="1"/>
    <col min="4356" max="4356" width="12.42578125" customWidth="1"/>
    <col min="4357" max="4357" width="11" customWidth="1"/>
    <col min="4358" max="4358" width="11.42578125" customWidth="1"/>
    <col min="4359" max="4606" width="9.140625" customWidth="1"/>
    <col min="4607" max="4607" width="5.140625" customWidth="1"/>
    <col min="4609" max="4610" width="3.7109375" customWidth="1"/>
    <col min="4611" max="4611" width="78.42578125" customWidth="1"/>
    <col min="4612" max="4612" width="12.42578125" customWidth="1"/>
    <col min="4613" max="4613" width="11" customWidth="1"/>
    <col min="4614" max="4614" width="11.42578125" customWidth="1"/>
    <col min="4615" max="4862" width="9.140625" customWidth="1"/>
    <col min="4863" max="4863" width="5.140625" customWidth="1"/>
    <col min="4865" max="4866" width="3.7109375" customWidth="1"/>
    <col min="4867" max="4867" width="78.42578125" customWidth="1"/>
    <col min="4868" max="4868" width="12.42578125" customWidth="1"/>
    <col min="4869" max="4869" width="11" customWidth="1"/>
    <col min="4870" max="4870" width="11.42578125" customWidth="1"/>
    <col min="4871" max="5118" width="9.140625" customWidth="1"/>
    <col min="5119" max="5119" width="5.140625" customWidth="1"/>
    <col min="5121" max="5122" width="3.7109375" customWidth="1"/>
    <col min="5123" max="5123" width="78.42578125" customWidth="1"/>
    <col min="5124" max="5124" width="12.42578125" customWidth="1"/>
    <col min="5125" max="5125" width="11" customWidth="1"/>
    <col min="5126" max="5126" width="11.42578125" customWidth="1"/>
    <col min="5127" max="5374" width="9.140625" customWidth="1"/>
    <col min="5375" max="5375" width="5.140625" customWidth="1"/>
    <col min="5377" max="5378" width="3.7109375" customWidth="1"/>
    <col min="5379" max="5379" width="78.42578125" customWidth="1"/>
    <col min="5380" max="5380" width="12.42578125" customWidth="1"/>
    <col min="5381" max="5381" width="11" customWidth="1"/>
    <col min="5382" max="5382" width="11.42578125" customWidth="1"/>
    <col min="5383" max="5630" width="9.140625" customWidth="1"/>
    <col min="5631" max="5631" width="5.140625" customWidth="1"/>
    <col min="5633" max="5634" width="3.7109375" customWidth="1"/>
    <col min="5635" max="5635" width="78.42578125" customWidth="1"/>
    <col min="5636" max="5636" width="12.42578125" customWidth="1"/>
    <col min="5637" max="5637" width="11" customWidth="1"/>
    <col min="5638" max="5638" width="11.42578125" customWidth="1"/>
    <col min="5639" max="5886" width="9.140625" customWidth="1"/>
    <col min="5887" max="5887" width="5.140625" customWidth="1"/>
    <col min="5889" max="5890" width="3.7109375" customWidth="1"/>
    <col min="5891" max="5891" width="78.42578125" customWidth="1"/>
    <col min="5892" max="5892" width="12.42578125" customWidth="1"/>
    <col min="5893" max="5893" width="11" customWidth="1"/>
    <col min="5894" max="5894" width="11.42578125" customWidth="1"/>
    <col min="5895" max="6142" width="9.140625" customWidth="1"/>
    <col min="6143" max="6143" width="5.140625" customWidth="1"/>
    <col min="6145" max="6146" width="3.7109375" customWidth="1"/>
    <col min="6147" max="6147" width="78.42578125" customWidth="1"/>
    <col min="6148" max="6148" width="12.42578125" customWidth="1"/>
    <col min="6149" max="6149" width="11" customWidth="1"/>
    <col min="6150" max="6150" width="11.42578125" customWidth="1"/>
    <col min="6151" max="6398" width="9.140625" customWidth="1"/>
    <col min="6399" max="6399" width="5.140625" customWidth="1"/>
    <col min="6401" max="6402" width="3.7109375" customWidth="1"/>
    <col min="6403" max="6403" width="78.42578125" customWidth="1"/>
    <col min="6404" max="6404" width="12.42578125" customWidth="1"/>
    <col min="6405" max="6405" width="11" customWidth="1"/>
    <col min="6406" max="6406" width="11.42578125" customWidth="1"/>
    <col min="6407" max="6654" width="9.140625" customWidth="1"/>
    <col min="6655" max="6655" width="5.140625" customWidth="1"/>
    <col min="6657" max="6658" width="3.7109375" customWidth="1"/>
    <col min="6659" max="6659" width="78.42578125" customWidth="1"/>
    <col min="6660" max="6660" width="12.42578125" customWidth="1"/>
    <col min="6661" max="6661" width="11" customWidth="1"/>
    <col min="6662" max="6662" width="11.42578125" customWidth="1"/>
    <col min="6663" max="6910" width="9.140625" customWidth="1"/>
    <col min="6911" max="6911" width="5.140625" customWidth="1"/>
    <col min="6913" max="6914" width="3.7109375" customWidth="1"/>
    <col min="6915" max="6915" width="78.42578125" customWidth="1"/>
    <col min="6916" max="6916" width="12.42578125" customWidth="1"/>
    <col min="6917" max="6917" width="11" customWidth="1"/>
    <col min="6918" max="6918" width="11.42578125" customWidth="1"/>
    <col min="6919" max="7166" width="9.140625" customWidth="1"/>
    <col min="7167" max="7167" width="5.140625" customWidth="1"/>
    <col min="7169" max="7170" width="3.7109375" customWidth="1"/>
    <col min="7171" max="7171" width="78.42578125" customWidth="1"/>
    <col min="7172" max="7172" width="12.42578125" customWidth="1"/>
    <col min="7173" max="7173" width="11" customWidth="1"/>
    <col min="7174" max="7174" width="11.42578125" customWidth="1"/>
    <col min="7175" max="7422" width="9.140625" customWidth="1"/>
    <col min="7423" max="7423" width="5.140625" customWidth="1"/>
    <col min="7425" max="7426" width="3.7109375" customWidth="1"/>
    <col min="7427" max="7427" width="78.42578125" customWidth="1"/>
    <col min="7428" max="7428" width="12.42578125" customWidth="1"/>
    <col min="7429" max="7429" width="11" customWidth="1"/>
    <col min="7430" max="7430" width="11.42578125" customWidth="1"/>
    <col min="7431" max="7678" width="9.140625" customWidth="1"/>
    <col min="7679" max="7679" width="5.140625" customWidth="1"/>
    <col min="7681" max="7682" width="3.7109375" customWidth="1"/>
    <col min="7683" max="7683" width="78.42578125" customWidth="1"/>
    <col min="7684" max="7684" width="12.42578125" customWidth="1"/>
    <col min="7685" max="7685" width="11" customWidth="1"/>
    <col min="7686" max="7686" width="11.42578125" customWidth="1"/>
    <col min="7687" max="7934" width="9.140625" customWidth="1"/>
    <col min="7935" max="7935" width="5.140625" customWidth="1"/>
    <col min="7937" max="7938" width="3.7109375" customWidth="1"/>
    <col min="7939" max="7939" width="78.42578125" customWidth="1"/>
    <col min="7940" max="7940" width="12.42578125" customWidth="1"/>
    <col min="7941" max="7941" width="11" customWidth="1"/>
    <col min="7942" max="7942" width="11.42578125" customWidth="1"/>
    <col min="7943" max="8190" width="9.140625" customWidth="1"/>
    <col min="8191" max="8191" width="5.140625" customWidth="1"/>
    <col min="8193" max="8194" width="3.7109375" customWidth="1"/>
    <col min="8195" max="8195" width="78.42578125" customWidth="1"/>
    <col min="8196" max="8196" width="12.42578125" customWidth="1"/>
    <col min="8197" max="8197" width="11" customWidth="1"/>
    <col min="8198" max="8198" width="11.42578125" customWidth="1"/>
    <col min="8199" max="8446" width="9.140625" customWidth="1"/>
    <col min="8447" max="8447" width="5.140625" customWidth="1"/>
    <col min="8449" max="8450" width="3.7109375" customWidth="1"/>
    <col min="8451" max="8451" width="78.42578125" customWidth="1"/>
    <col min="8452" max="8452" width="12.42578125" customWidth="1"/>
    <col min="8453" max="8453" width="11" customWidth="1"/>
    <col min="8454" max="8454" width="11.42578125" customWidth="1"/>
    <col min="8455" max="8702" width="9.140625" customWidth="1"/>
    <col min="8703" max="8703" width="5.140625" customWidth="1"/>
    <col min="8705" max="8706" width="3.7109375" customWidth="1"/>
    <col min="8707" max="8707" width="78.42578125" customWidth="1"/>
    <col min="8708" max="8708" width="12.42578125" customWidth="1"/>
    <col min="8709" max="8709" width="11" customWidth="1"/>
    <col min="8710" max="8710" width="11.42578125" customWidth="1"/>
    <col min="8711" max="8958" width="9.140625" customWidth="1"/>
    <col min="8959" max="8959" width="5.140625" customWidth="1"/>
    <col min="8961" max="8962" width="3.7109375" customWidth="1"/>
    <col min="8963" max="8963" width="78.42578125" customWidth="1"/>
    <col min="8964" max="8964" width="12.42578125" customWidth="1"/>
    <col min="8965" max="8965" width="11" customWidth="1"/>
    <col min="8966" max="8966" width="11.42578125" customWidth="1"/>
    <col min="8967" max="9214" width="9.140625" customWidth="1"/>
    <col min="9215" max="9215" width="5.140625" customWidth="1"/>
    <col min="9217" max="9218" width="3.7109375" customWidth="1"/>
    <col min="9219" max="9219" width="78.42578125" customWidth="1"/>
    <col min="9220" max="9220" width="12.42578125" customWidth="1"/>
    <col min="9221" max="9221" width="11" customWidth="1"/>
    <col min="9222" max="9222" width="11.42578125" customWidth="1"/>
    <col min="9223" max="9470" width="9.140625" customWidth="1"/>
    <col min="9471" max="9471" width="5.140625" customWidth="1"/>
    <col min="9473" max="9474" width="3.7109375" customWidth="1"/>
    <col min="9475" max="9475" width="78.42578125" customWidth="1"/>
    <col min="9476" max="9476" width="12.42578125" customWidth="1"/>
    <col min="9477" max="9477" width="11" customWidth="1"/>
    <col min="9478" max="9478" width="11.42578125" customWidth="1"/>
    <col min="9479" max="9726" width="9.140625" customWidth="1"/>
    <col min="9727" max="9727" width="5.140625" customWidth="1"/>
    <col min="9729" max="9730" width="3.7109375" customWidth="1"/>
    <col min="9731" max="9731" width="78.42578125" customWidth="1"/>
    <col min="9732" max="9732" width="12.42578125" customWidth="1"/>
    <col min="9733" max="9733" width="11" customWidth="1"/>
    <col min="9734" max="9734" width="11.42578125" customWidth="1"/>
    <col min="9735" max="9982" width="9.140625" customWidth="1"/>
    <col min="9983" max="9983" width="5.140625" customWidth="1"/>
    <col min="9985" max="9986" width="3.7109375" customWidth="1"/>
    <col min="9987" max="9987" width="78.42578125" customWidth="1"/>
    <col min="9988" max="9988" width="12.42578125" customWidth="1"/>
    <col min="9989" max="9989" width="11" customWidth="1"/>
    <col min="9990" max="9990" width="11.42578125" customWidth="1"/>
    <col min="9991" max="10238" width="9.140625" customWidth="1"/>
    <col min="10239" max="10239" width="5.140625" customWidth="1"/>
    <col min="10241" max="10242" width="3.7109375" customWidth="1"/>
    <col min="10243" max="10243" width="78.42578125" customWidth="1"/>
    <col min="10244" max="10244" width="12.42578125" customWidth="1"/>
    <col min="10245" max="10245" width="11" customWidth="1"/>
    <col min="10246" max="10246" width="11.42578125" customWidth="1"/>
    <col min="10247" max="10494" width="9.140625" customWidth="1"/>
    <col min="10495" max="10495" width="5.140625" customWidth="1"/>
    <col min="10497" max="10498" width="3.7109375" customWidth="1"/>
    <col min="10499" max="10499" width="78.42578125" customWidth="1"/>
    <col min="10500" max="10500" width="12.42578125" customWidth="1"/>
    <col min="10501" max="10501" width="11" customWidth="1"/>
    <col min="10502" max="10502" width="11.42578125" customWidth="1"/>
    <col min="10503" max="10750" width="9.140625" customWidth="1"/>
    <col min="10751" max="10751" width="5.140625" customWidth="1"/>
    <col min="10753" max="10754" width="3.7109375" customWidth="1"/>
    <col min="10755" max="10755" width="78.42578125" customWidth="1"/>
    <col min="10756" max="10756" width="12.42578125" customWidth="1"/>
    <col min="10757" max="10757" width="11" customWidth="1"/>
    <col min="10758" max="10758" width="11.42578125" customWidth="1"/>
    <col min="10759" max="11006" width="9.140625" customWidth="1"/>
    <col min="11007" max="11007" width="5.140625" customWidth="1"/>
    <col min="11009" max="11010" width="3.7109375" customWidth="1"/>
    <col min="11011" max="11011" width="78.42578125" customWidth="1"/>
    <col min="11012" max="11012" width="12.42578125" customWidth="1"/>
    <col min="11013" max="11013" width="11" customWidth="1"/>
    <col min="11014" max="11014" width="11.42578125" customWidth="1"/>
    <col min="11015" max="11262" width="9.140625" customWidth="1"/>
    <col min="11263" max="11263" width="5.140625" customWidth="1"/>
    <col min="11265" max="11266" width="3.7109375" customWidth="1"/>
    <col min="11267" max="11267" width="78.42578125" customWidth="1"/>
    <col min="11268" max="11268" width="12.42578125" customWidth="1"/>
    <col min="11269" max="11269" width="11" customWidth="1"/>
    <col min="11270" max="11270" width="11.42578125" customWidth="1"/>
    <col min="11271" max="11518" width="9.140625" customWidth="1"/>
    <col min="11519" max="11519" width="5.140625" customWidth="1"/>
    <col min="11521" max="11522" width="3.7109375" customWidth="1"/>
    <col min="11523" max="11523" width="78.42578125" customWidth="1"/>
    <col min="11524" max="11524" width="12.42578125" customWidth="1"/>
    <col min="11525" max="11525" width="11" customWidth="1"/>
    <col min="11526" max="11526" width="11.42578125" customWidth="1"/>
    <col min="11527" max="11774" width="9.140625" customWidth="1"/>
    <col min="11775" max="11775" width="5.140625" customWidth="1"/>
    <col min="11777" max="11778" width="3.7109375" customWidth="1"/>
    <col min="11779" max="11779" width="78.42578125" customWidth="1"/>
    <col min="11780" max="11780" width="12.42578125" customWidth="1"/>
    <col min="11781" max="11781" width="11" customWidth="1"/>
    <col min="11782" max="11782" width="11.42578125" customWidth="1"/>
    <col min="11783" max="12030" width="9.140625" customWidth="1"/>
    <col min="12031" max="12031" width="5.140625" customWidth="1"/>
    <col min="12033" max="12034" width="3.7109375" customWidth="1"/>
    <col min="12035" max="12035" width="78.42578125" customWidth="1"/>
    <col min="12036" max="12036" width="12.42578125" customWidth="1"/>
    <col min="12037" max="12037" width="11" customWidth="1"/>
    <col min="12038" max="12038" width="11.42578125" customWidth="1"/>
    <col min="12039" max="12286" width="9.140625" customWidth="1"/>
    <col min="12287" max="12287" width="5.140625" customWidth="1"/>
    <col min="12289" max="12290" width="3.7109375" customWidth="1"/>
    <col min="12291" max="12291" width="78.42578125" customWidth="1"/>
    <col min="12292" max="12292" width="12.42578125" customWidth="1"/>
    <col min="12293" max="12293" width="11" customWidth="1"/>
    <col min="12294" max="12294" width="11.42578125" customWidth="1"/>
    <col min="12295" max="12542" width="9.140625" customWidth="1"/>
    <col min="12543" max="12543" width="5.140625" customWidth="1"/>
    <col min="12545" max="12546" width="3.7109375" customWidth="1"/>
    <col min="12547" max="12547" width="78.42578125" customWidth="1"/>
    <col min="12548" max="12548" width="12.42578125" customWidth="1"/>
    <col min="12549" max="12549" width="11" customWidth="1"/>
    <col min="12550" max="12550" width="11.42578125" customWidth="1"/>
    <col min="12551" max="12798" width="9.140625" customWidth="1"/>
    <col min="12799" max="12799" width="5.140625" customWidth="1"/>
    <col min="12801" max="12802" width="3.7109375" customWidth="1"/>
    <col min="12803" max="12803" width="78.42578125" customWidth="1"/>
    <col min="12804" max="12804" width="12.42578125" customWidth="1"/>
    <col min="12805" max="12805" width="11" customWidth="1"/>
    <col min="12806" max="12806" width="11.42578125" customWidth="1"/>
    <col min="12807" max="13054" width="9.140625" customWidth="1"/>
    <col min="13055" max="13055" width="5.140625" customWidth="1"/>
    <col min="13057" max="13058" width="3.7109375" customWidth="1"/>
    <col min="13059" max="13059" width="78.42578125" customWidth="1"/>
    <col min="13060" max="13060" width="12.42578125" customWidth="1"/>
    <col min="13061" max="13061" width="11" customWidth="1"/>
    <col min="13062" max="13062" width="11.42578125" customWidth="1"/>
    <col min="13063" max="13310" width="9.140625" customWidth="1"/>
    <col min="13311" max="13311" width="5.140625" customWidth="1"/>
    <col min="13313" max="13314" width="3.7109375" customWidth="1"/>
    <col min="13315" max="13315" width="78.42578125" customWidth="1"/>
    <col min="13316" max="13316" width="12.42578125" customWidth="1"/>
    <col min="13317" max="13317" width="11" customWidth="1"/>
    <col min="13318" max="13318" width="11.42578125" customWidth="1"/>
    <col min="13319" max="13566" width="9.140625" customWidth="1"/>
    <col min="13567" max="13567" width="5.140625" customWidth="1"/>
    <col min="13569" max="13570" width="3.7109375" customWidth="1"/>
    <col min="13571" max="13571" width="78.42578125" customWidth="1"/>
    <col min="13572" max="13572" width="12.42578125" customWidth="1"/>
    <col min="13573" max="13573" width="11" customWidth="1"/>
    <col min="13574" max="13574" width="11.42578125" customWidth="1"/>
    <col min="13575" max="13822" width="9.140625" customWidth="1"/>
    <col min="13823" max="13823" width="5.140625" customWidth="1"/>
    <col min="13825" max="13826" width="3.7109375" customWidth="1"/>
    <col min="13827" max="13827" width="78.42578125" customWidth="1"/>
    <col min="13828" max="13828" width="12.42578125" customWidth="1"/>
    <col min="13829" max="13829" width="11" customWidth="1"/>
    <col min="13830" max="13830" width="11.42578125" customWidth="1"/>
    <col min="13831" max="14078" width="9.140625" customWidth="1"/>
    <col min="14079" max="14079" width="5.140625" customWidth="1"/>
    <col min="14081" max="14082" width="3.7109375" customWidth="1"/>
    <col min="14083" max="14083" width="78.42578125" customWidth="1"/>
    <col min="14084" max="14084" width="12.42578125" customWidth="1"/>
    <col min="14085" max="14085" width="11" customWidth="1"/>
    <col min="14086" max="14086" width="11.42578125" customWidth="1"/>
    <col min="14087" max="14334" width="9.140625" customWidth="1"/>
    <col min="14335" max="14335" width="5.140625" customWidth="1"/>
    <col min="14337" max="14338" width="3.7109375" customWidth="1"/>
    <col min="14339" max="14339" width="78.42578125" customWidth="1"/>
    <col min="14340" max="14340" width="12.42578125" customWidth="1"/>
    <col min="14341" max="14341" width="11" customWidth="1"/>
    <col min="14342" max="14342" width="11.42578125" customWidth="1"/>
    <col min="14343" max="14590" width="9.140625" customWidth="1"/>
    <col min="14591" max="14591" width="5.140625" customWidth="1"/>
    <col min="14593" max="14594" width="3.7109375" customWidth="1"/>
    <col min="14595" max="14595" width="78.42578125" customWidth="1"/>
    <col min="14596" max="14596" width="12.42578125" customWidth="1"/>
    <col min="14597" max="14597" width="11" customWidth="1"/>
    <col min="14598" max="14598" width="11.42578125" customWidth="1"/>
    <col min="14599" max="14846" width="9.140625" customWidth="1"/>
    <col min="14847" max="14847" width="5.140625" customWidth="1"/>
    <col min="14849" max="14850" width="3.7109375" customWidth="1"/>
    <col min="14851" max="14851" width="78.42578125" customWidth="1"/>
    <col min="14852" max="14852" width="12.42578125" customWidth="1"/>
    <col min="14853" max="14853" width="11" customWidth="1"/>
    <col min="14854" max="14854" width="11.42578125" customWidth="1"/>
    <col min="14855" max="15102" width="9.140625" customWidth="1"/>
    <col min="15103" max="15103" width="5.140625" customWidth="1"/>
    <col min="15105" max="15106" width="3.7109375" customWidth="1"/>
    <col min="15107" max="15107" width="78.42578125" customWidth="1"/>
    <col min="15108" max="15108" width="12.42578125" customWidth="1"/>
    <col min="15109" max="15109" width="11" customWidth="1"/>
    <col min="15110" max="15110" width="11.42578125" customWidth="1"/>
    <col min="15111" max="15358" width="9.140625" customWidth="1"/>
    <col min="15359" max="15359" width="5.140625" customWidth="1"/>
    <col min="15361" max="15362" width="3.7109375" customWidth="1"/>
    <col min="15363" max="15363" width="78.42578125" customWidth="1"/>
    <col min="15364" max="15364" width="12.42578125" customWidth="1"/>
    <col min="15365" max="15365" width="11" customWidth="1"/>
    <col min="15366" max="15366" width="11.42578125" customWidth="1"/>
    <col min="15367" max="15614" width="9.140625" customWidth="1"/>
    <col min="15615" max="15615" width="5.140625" customWidth="1"/>
    <col min="15617" max="15618" width="3.7109375" customWidth="1"/>
    <col min="15619" max="15619" width="78.42578125" customWidth="1"/>
    <col min="15620" max="15620" width="12.42578125" customWidth="1"/>
    <col min="15621" max="15621" width="11" customWidth="1"/>
    <col min="15622" max="15622" width="11.42578125" customWidth="1"/>
    <col min="15623" max="15870" width="9.140625" customWidth="1"/>
    <col min="15871" max="15871" width="5.140625" customWidth="1"/>
    <col min="15873" max="15874" width="3.7109375" customWidth="1"/>
    <col min="15875" max="15875" width="78.42578125" customWidth="1"/>
    <col min="15876" max="15876" width="12.42578125" customWidth="1"/>
    <col min="15877" max="15877" width="11" customWidth="1"/>
    <col min="15878" max="15878" width="11.42578125" customWidth="1"/>
    <col min="15879" max="16126" width="9.140625" customWidth="1"/>
    <col min="16127" max="16127" width="5.140625" customWidth="1"/>
    <col min="16129" max="16130" width="3.7109375" customWidth="1"/>
    <col min="16131" max="16131" width="78.42578125" customWidth="1"/>
    <col min="16132" max="16132" width="12.42578125" customWidth="1"/>
    <col min="16133" max="16133" width="11" customWidth="1"/>
    <col min="16134" max="16134" width="11.42578125" customWidth="1"/>
    <col min="16135" max="16382" width="9.140625" customWidth="1"/>
    <col min="16383" max="16383" width="5.140625" customWidth="1"/>
  </cols>
  <sheetData>
    <row r="1" spans="1:6" ht="21">
      <c r="A1" s="1" t="s">
        <v>0</v>
      </c>
      <c r="B1" s="1"/>
      <c r="F1" s="2" t="s">
        <v>525</v>
      </c>
    </row>
    <row r="3" spans="1:6" ht="15.75">
      <c r="A3" s="4" t="s">
        <v>275</v>
      </c>
      <c r="B3" s="4"/>
      <c r="D3" s="85"/>
      <c r="E3" s="86" t="s">
        <v>2</v>
      </c>
      <c r="F3" s="86" t="s">
        <v>3</v>
      </c>
    </row>
    <row r="4" spans="1:6" ht="15.75">
      <c r="A4" s="4" t="s">
        <v>4</v>
      </c>
      <c r="B4" s="4"/>
      <c r="D4" s="85" t="s">
        <v>5</v>
      </c>
      <c r="E4" s="85"/>
      <c r="F4" s="85"/>
    </row>
    <row r="5" spans="1:6">
      <c r="A5" s="7"/>
      <c r="B5" s="7"/>
      <c r="D5" s="85" t="s">
        <v>6</v>
      </c>
      <c r="E5" s="85"/>
      <c r="F5" s="85"/>
    </row>
    <row r="6" spans="1:6">
      <c r="A6" s="7"/>
      <c r="B6" s="7"/>
    </row>
    <row r="7" spans="1:6" ht="15.75">
      <c r="A7" s="4" t="s">
        <v>190</v>
      </c>
      <c r="B7" s="4"/>
    </row>
    <row r="8" spans="1:6" ht="15.75">
      <c r="A8" s="4"/>
      <c r="B8" s="4"/>
    </row>
    <row r="9" spans="1:6" ht="15.75">
      <c r="A9" s="4"/>
      <c r="B9" s="4"/>
    </row>
    <row r="10" spans="1:6" ht="15.75">
      <c r="A10" s="4"/>
      <c r="B10" s="4"/>
    </row>
    <row r="11" spans="1:6" ht="15.75">
      <c r="A11" s="4"/>
      <c r="B11" s="4"/>
    </row>
    <row r="12" spans="1:6" ht="15.75">
      <c r="A12" s="4"/>
      <c r="B12" s="4"/>
    </row>
    <row r="14" spans="1:6">
      <c r="A14" s="9" t="s">
        <v>92</v>
      </c>
      <c r="B14" s="9"/>
      <c r="E14" s="2" t="s">
        <v>359</v>
      </c>
      <c r="F14" s="561" t="s">
        <v>353</v>
      </c>
    </row>
    <row r="15" spans="1:6">
      <c r="A15" s="9"/>
      <c r="B15" s="9"/>
    </row>
    <row r="16" spans="1:6" ht="15" customHeight="1">
      <c r="A16" s="244">
        <v>1.1000000000000001</v>
      </c>
      <c r="B16" s="243" t="s">
        <v>370</v>
      </c>
      <c r="D16" s="242"/>
      <c r="E16" s="123" t="s">
        <v>24</v>
      </c>
      <c r="F16" s="123" t="s">
        <v>24</v>
      </c>
    </row>
    <row r="17" spans="1:6" ht="15" customHeight="1">
      <c r="A17" s="244"/>
      <c r="B17" s="243" t="s">
        <v>371</v>
      </c>
      <c r="D17" s="242"/>
      <c r="E17" s="123"/>
      <c r="F17" s="123"/>
    </row>
    <row r="18" spans="1:6" s="97" customFormat="1" ht="15" customHeight="1">
      <c r="A18" s="96"/>
      <c r="B18" s="243" t="s">
        <v>526</v>
      </c>
      <c r="D18" s="245"/>
      <c r="E18" s="245"/>
      <c r="F18" s="245"/>
    </row>
    <row r="19" spans="1:6" s="97" customFormat="1" ht="15" customHeight="1">
      <c r="A19" s="96"/>
      <c r="B19" s="562" t="s">
        <v>415</v>
      </c>
      <c r="D19" s="245"/>
      <c r="E19" s="245"/>
      <c r="F19" s="245"/>
    </row>
    <row r="20" spans="1:6" ht="15" customHeight="1">
      <c r="A20" s="244"/>
      <c r="B20" s="243"/>
      <c r="C20" s="243"/>
      <c r="D20" s="242"/>
      <c r="E20" s="242"/>
      <c r="F20" s="123"/>
    </row>
    <row r="21" spans="1:6" s="90" customFormat="1" ht="15" customHeight="1">
      <c r="A21" s="9" t="s">
        <v>8</v>
      </c>
      <c r="B21" s="9"/>
    </row>
    <row r="22" spans="1:6" s="90" customFormat="1" ht="15" customHeight="1"/>
    <row r="23" spans="1:6" s="90" customFormat="1" ht="15" customHeight="1">
      <c r="B23" s="580" t="s">
        <v>9</v>
      </c>
      <c r="C23" s="281" t="s">
        <v>10</v>
      </c>
      <c r="D23" s="281" t="s">
        <v>11</v>
      </c>
      <c r="E23" s="282" t="s">
        <v>25</v>
      </c>
      <c r="F23" s="282" t="s">
        <v>66</v>
      </c>
    </row>
    <row r="24" spans="1:6" s="90" customFormat="1" ht="9.9499999999999993" customHeight="1">
      <c r="B24" s="286"/>
      <c r="C24" s="315"/>
      <c r="D24" s="286"/>
      <c r="E24" s="286"/>
      <c r="F24" s="286"/>
    </row>
    <row r="25" spans="1:6" s="95" customFormat="1" ht="15" customHeight="1">
      <c r="B25" s="475">
        <v>1</v>
      </c>
      <c r="C25" s="474" t="s">
        <v>269</v>
      </c>
      <c r="D25" s="470"/>
      <c r="E25" s="471"/>
      <c r="F25" s="471"/>
    </row>
    <row r="26" spans="1:6" s="95" customFormat="1" ht="9.9499999999999993" customHeight="1">
      <c r="B26" s="292"/>
      <c r="C26" s="277"/>
      <c r="D26" s="451"/>
      <c r="E26" s="274"/>
      <c r="F26" s="274"/>
    </row>
    <row r="27" spans="1:6" s="90" customFormat="1" ht="15" customHeight="1">
      <c r="B27" s="91"/>
      <c r="C27" s="582" t="s">
        <v>14</v>
      </c>
      <c r="D27" s="16"/>
      <c r="E27" s="101"/>
      <c r="F27" s="99"/>
    </row>
    <row r="28" spans="1:6" s="90" customFormat="1" ht="15" customHeight="1">
      <c r="A28" s="92"/>
      <c r="B28" s="92"/>
      <c r="C28" s="18"/>
    </row>
    <row r="29" spans="1:6" s="95" customFormat="1" ht="15" customHeight="1">
      <c r="A29" s="9" t="s">
        <v>15</v>
      </c>
      <c r="B29" s="9"/>
    </row>
    <row r="30" spans="1:6" s="95" customFormat="1" ht="15" customHeight="1">
      <c r="B30" s="95" t="s">
        <v>189</v>
      </c>
    </row>
    <row r="31" spans="1:6">
      <c r="A31" s="20"/>
      <c r="B31" s="20"/>
      <c r="C31" s="20"/>
    </row>
  </sheetData>
  <printOptions horizontalCentered="1"/>
  <pageMargins left="0.2" right="0.2" top="0.5" bottom="0.5" header="0.3" footer="0.3"/>
  <pageSetup paperSize="9" scale="75" orientation="portrait" r:id="rId1"/>
  <drawing r:id="rId2"/>
</worksheet>
</file>

<file path=xl/worksheets/sheet4.xml><?xml version="1.0" encoding="utf-8"?>
<worksheet xmlns="http://schemas.openxmlformats.org/spreadsheetml/2006/main" xmlns:r="http://schemas.openxmlformats.org/officeDocument/2006/relationships">
  <dimension ref="A1:H96"/>
  <sheetViews>
    <sheetView view="pageBreakPreview" zoomScaleNormal="100" zoomScaleSheetLayoutView="100" workbookViewId="0">
      <selection activeCell="C5" sqref="C5"/>
    </sheetView>
  </sheetViews>
  <sheetFormatPr defaultRowHeight="15"/>
  <cols>
    <col min="1" max="1" width="4.5703125" customWidth="1"/>
    <col min="2" max="2" width="3.7109375" customWidth="1"/>
    <col min="3" max="3" width="46.140625" customWidth="1"/>
    <col min="4" max="4" width="18.85546875" customWidth="1"/>
    <col min="5" max="5" width="12.28515625" customWidth="1"/>
    <col min="6" max="6" width="15.140625" customWidth="1"/>
    <col min="7" max="7" width="12.140625" customWidth="1"/>
    <col min="8" max="8" width="10.85546875" customWidth="1"/>
    <col min="257" max="257" width="4.42578125" customWidth="1"/>
    <col min="258" max="258" width="3.7109375" customWidth="1"/>
    <col min="259" max="259" width="46.140625" customWidth="1"/>
    <col min="260" max="260" width="18.85546875" customWidth="1"/>
    <col min="261" max="261" width="12.28515625" customWidth="1"/>
    <col min="262" max="262" width="15.140625" customWidth="1"/>
    <col min="263" max="263" width="12.140625" customWidth="1"/>
    <col min="264" max="264" width="10.85546875" customWidth="1"/>
    <col min="513" max="513" width="4.42578125" customWidth="1"/>
    <col min="514" max="514" width="3.7109375" customWidth="1"/>
    <col min="515" max="515" width="46.140625" customWidth="1"/>
    <col min="516" max="516" width="18.85546875" customWidth="1"/>
    <col min="517" max="517" width="12.28515625" customWidth="1"/>
    <col min="518" max="518" width="15.140625" customWidth="1"/>
    <col min="519" max="519" width="12.140625" customWidth="1"/>
    <col min="520" max="520" width="10.85546875" customWidth="1"/>
    <col min="769" max="769" width="4.42578125" customWidth="1"/>
    <col min="770" max="770" width="3.7109375" customWidth="1"/>
    <col min="771" max="771" width="46.140625" customWidth="1"/>
    <col min="772" max="772" width="18.85546875" customWidth="1"/>
    <col min="773" max="773" width="12.28515625" customWidth="1"/>
    <col min="774" max="774" width="15.140625" customWidth="1"/>
    <col min="775" max="775" width="12.140625" customWidth="1"/>
    <col min="776" max="776" width="10.85546875" customWidth="1"/>
    <col min="1025" max="1025" width="4.42578125" customWidth="1"/>
    <col min="1026" max="1026" width="3.7109375" customWidth="1"/>
    <col min="1027" max="1027" width="46.140625" customWidth="1"/>
    <col min="1028" max="1028" width="18.85546875" customWidth="1"/>
    <col min="1029" max="1029" width="12.28515625" customWidth="1"/>
    <col min="1030" max="1030" width="15.140625" customWidth="1"/>
    <col min="1031" max="1031" width="12.140625" customWidth="1"/>
    <col min="1032" max="1032" width="10.85546875" customWidth="1"/>
    <col min="1281" max="1281" width="4.42578125" customWidth="1"/>
    <col min="1282" max="1282" width="3.7109375" customWidth="1"/>
    <col min="1283" max="1283" width="46.140625" customWidth="1"/>
    <col min="1284" max="1284" width="18.85546875" customWidth="1"/>
    <col min="1285" max="1285" width="12.28515625" customWidth="1"/>
    <col min="1286" max="1286" width="15.140625" customWidth="1"/>
    <col min="1287" max="1287" width="12.140625" customWidth="1"/>
    <col min="1288" max="1288" width="10.85546875" customWidth="1"/>
    <col min="1537" max="1537" width="4.42578125" customWidth="1"/>
    <col min="1538" max="1538" width="3.7109375" customWidth="1"/>
    <col min="1539" max="1539" width="46.140625" customWidth="1"/>
    <col min="1540" max="1540" width="18.85546875" customWidth="1"/>
    <col min="1541" max="1541" width="12.28515625" customWidth="1"/>
    <col min="1542" max="1542" width="15.140625" customWidth="1"/>
    <col min="1543" max="1543" width="12.140625" customWidth="1"/>
    <col min="1544" max="1544" width="10.85546875" customWidth="1"/>
    <col min="1793" max="1793" width="4.42578125" customWidth="1"/>
    <col min="1794" max="1794" width="3.7109375" customWidth="1"/>
    <col min="1795" max="1795" width="46.140625" customWidth="1"/>
    <col min="1796" max="1796" width="18.85546875" customWidth="1"/>
    <col min="1797" max="1797" width="12.28515625" customWidth="1"/>
    <col min="1798" max="1798" width="15.140625" customWidth="1"/>
    <col min="1799" max="1799" width="12.140625" customWidth="1"/>
    <col min="1800" max="1800" width="10.85546875" customWidth="1"/>
    <col min="2049" max="2049" width="4.42578125" customWidth="1"/>
    <col min="2050" max="2050" width="3.7109375" customWidth="1"/>
    <col min="2051" max="2051" width="46.140625" customWidth="1"/>
    <col min="2052" max="2052" width="18.85546875" customWidth="1"/>
    <col min="2053" max="2053" width="12.28515625" customWidth="1"/>
    <col min="2054" max="2054" width="15.140625" customWidth="1"/>
    <col min="2055" max="2055" width="12.140625" customWidth="1"/>
    <col min="2056" max="2056" width="10.85546875" customWidth="1"/>
    <col min="2305" max="2305" width="4.42578125" customWidth="1"/>
    <col min="2306" max="2306" width="3.7109375" customWidth="1"/>
    <col min="2307" max="2307" width="46.140625" customWidth="1"/>
    <col min="2308" max="2308" width="18.85546875" customWidth="1"/>
    <col min="2309" max="2309" width="12.28515625" customWidth="1"/>
    <col min="2310" max="2310" width="15.140625" customWidth="1"/>
    <col min="2311" max="2311" width="12.140625" customWidth="1"/>
    <col min="2312" max="2312" width="10.85546875" customWidth="1"/>
    <col min="2561" max="2561" width="4.42578125" customWidth="1"/>
    <col min="2562" max="2562" width="3.7109375" customWidth="1"/>
    <col min="2563" max="2563" width="46.140625" customWidth="1"/>
    <col min="2564" max="2564" width="18.85546875" customWidth="1"/>
    <col min="2565" max="2565" width="12.28515625" customWidth="1"/>
    <col min="2566" max="2566" width="15.140625" customWidth="1"/>
    <col min="2567" max="2567" width="12.140625" customWidth="1"/>
    <col min="2568" max="2568" width="10.85546875" customWidth="1"/>
    <col min="2817" max="2817" width="4.42578125" customWidth="1"/>
    <col min="2818" max="2818" width="3.7109375" customWidth="1"/>
    <col min="2819" max="2819" width="46.140625" customWidth="1"/>
    <col min="2820" max="2820" width="18.85546875" customWidth="1"/>
    <col min="2821" max="2821" width="12.28515625" customWidth="1"/>
    <col min="2822" max="2822" width="15.140625" customWidth="1"/>
    <col min="2823" max="2823" width="12.140625" customWidth="1"/>
    <col min="2824" max="2824" width="10.85546875" customWidth="1"/>
    <col min="3073" max="3073" width="4.42578125" customWidth="1"/>
    <col min="3074" max="3074" width="3.7109375" customWidth="1"/>
    <col min="3075" max="3075" width="46.140625" customWidth="1"/>
    <col min="3076" max="3076" width="18.85546875" customWidth="1"/>
    <col min="3077" max="3077" width="12.28515625" customWidth="1"/>
    <col min="3078" max="3078" width="15.140625" customWidth="1"/>
    <col min="3079" max="3079" width="12.140625" customWidth="1"/>
    <col min="3080" max="3080" width="10.85546875" customWidth="1"/>
    <col min="3329" max="3329" width="4.42578125" customWidth="1"/>
    <col min="3330" max="3330" width="3.7109375" customWidth="1"/>
    <col min="3331" max="3331" width="46.140625" customWidth="1"/>
    <col min="3332" max="3332" width="18.85546875" customWidth="1"/>
    <col min="3333" max="3333" width="12.28515625" customWidth="1"/>
    <col min="3334" max="3334" width="15.140625" customWidth="1"/>
    <col min="3335" max="3335" width="12.140625" customWidth="1"/>
    <col min="3336" max="3336" width="10.85546875" customWidth="1"/>
    <col min="3585" max="3585" width="4.42578125" customWidth="1"/>
    <col min="3586" max="3586" width="3.7109375" customWidth="1"/>
    <col min="3587" max="3587" width="46.140625" customWidth="1"/>
    <col min="3588" max="3588" width="18.85546875" customWidth="1"/>
    <col min="3589" max="3589" width="12.28515625" customWidth="1"/>
    <col min="3590" max="3590" width="15.140625" customWidth="1"/>
    <col min="3591" max="3591" width="12.140625" customWidth="1"/>
    <col min="3592" max="3592" width="10.85546875" customWidth="1"/>
    <col min="3841" max="3841" width="4.42578125" customWidth="1"/>
    <col min="3842" max="3842" width="3.7109375" customWidth="1"/>
    <col min="3843" max="3843" width="46.140625" customWidth="1"/>
    <col min="3844" max="3844" width="18.85546875" customWidth="1"/>
    <col min="3845" max="3845" width="12.28515625" customWidth="1"/>
    <col min="3846" max="3846" width="15.140625" customWidth="1"/>
    <col min="3847" max="3847" width="12.140625" customWidth="1"/>
    <col min="3848" max="3848" width="10.85546875" customWidth="1"/>
    <col min="4097" max="4097" width="4.42578125" customWidth="1"/>
    <col min="4098" max="4098" width="3.7109375" customWidth="1"/>
    <col min="4099" max="4099" width="46.140625" customWidth="1"/>
    <col min="4100" max="4100" width="18.85546875" customWidth="1"/>
    <col min="4101" max="4101" width="12.28515625" customWidth="1"/>
    <col min="4102" max="4102" width="15.140625" customWidth="1"/>
    <col min="4103" max="4103" width="12.140625" customWidth="1"/>
    <col min="4104" max="4104" width="10.85546875" customWidth="1"/>
    <col min="4353" max="4353" width="4.42578125" customWidth="1"/>
    <col min="4354" max="4354" width="3.7109375" customWidth="1"/>
    <col min="4355" max="4355" width="46.140625" customWidth="1"/>
    <col min="4356" max="4356" width="18.85546875" customWidth="1"/>
    <col min="4357" max="4357" width="12.28515625" customWidth="1"/>
    <col min="4358" max="4358" width="15.140625" customWidth="1"/>
    <col min="4359" max="4359" width="12.140625" customWidth="1"/>
    <col min="4360" max="4360" width="10.85546875" customWidth="1"/>
    <col min="4609" max="4609" width="4.42578125" customWidth="1"/>
    <col min="4610" max="4610" width="3.7109375" customWidth="1"/>
    <col min="4611" max="4611" width="46.140625" customWidth="1"/>
    <col min="4612" max="4612" width="18.85546875" customWidth="1"/>
    <col min="4613" max="4613" width="12.28515625" customWidth="1"/>
    <col min="4614" max="4614" width="15.140625" customWidth="1"/>
    <col min="4615" max="4615" width="12.140625" customWidth="1"/>
    <col min="4616" max="4616" width="10.85546875" customWidth="1"/>
    <col min="4865" max="4865" width="4.42578125" customWidth="1"/>
    <col min="4866" max="4866" width="3.7109375" customWidth="1"/>
    <col min="4867" max="4867" width="46.140625" customWidth="1"/>
    <col min="4868" max="4868" width="18.85546875" customWidth="1"/>
    <col min="4869" max="4869" width="12.28515625" customWidth="1"/>
    <col min="4870" max="4870" width="15.140625" customWidth="1"/>
    <col min="4871" max="4871" width="12.140625" customWidth="1"/>
    <col min="4872" max="4872" width="10.85546875" customWidth="1"/>
    <col min="5121" max="5121" width="4.42578125" customWidth="1"/>
    <col min="5122" max="5122" width="3.7109375" customWidth="1"/>
    <col min="5123" max="5123" width="46.140625" customWidth="1"/>
    <col min="5124" max="5124" width="18.85546875" customWidth="1"/>
    <col min="5125" max="5125" width="12.28515625" customWidth="1"/>
    <col min="5126" max="5126" width="15.140625" customWidth="1"/>
    <col min="5127" max="5127" width="12.140625" customWidth="1"/>
    <col min="5128" max="5128" width="10.85546875" customWidth="1"/>
    <col min="5377" max="5377" width="4.42578125" customWidth="1"/>
    <col min="5378" max="5378" width="3.7109375" customWidth="1"/>
    <col min="5379" max="5379" width="46.140625" customWidth="1"/>
    <col min="5380" max="5380" width="18.85546875" customWidth="1"/>
    <col min="5381" max="5381" width="12.28515625" customWidth="1"/>
    <col min="5382" max="5382" width="15.140625" customWidth="1"/>
    <col min="5383" max="5383" width="12.140625" customWidth="1"/>
    <col min="5384" max="5384" width="10.85546875" customWidth="1"/>
    <col min="5633" max="5633" width="4.42578125" customWidth="1"/>
    <col min="5634" max="5634" width="3.7109375" customWidth="1"/>
    <col min="5635" max="5635" width="46.140625" customWidth="1"/>
    <col min="5636" max="5636" width="18.85546875" customWidth="1"/>
    <col min="5637" max="5637" width="12.28515625" customWidth="1"/>
    <col min="5638" max="5638" width="15.140625" customWidth="1"/>
    <col min="5639" max="5639" width="12.140625" customWidth="1"/>
    <col min="5640" max="5640" width="10.85546875" customWidth="1"/>
    <col min="5889" max="5889" width="4.42578125" customWidth="1"/>
    <col min="5890" max="5890" width="3.7109375" customWidth="1"/>
    <col min="5891" max="5891" width="46.140625" customWidth="1"/>
    <col min="5892" max="5892" width="18.85546875" customWidth="1"/>
    <col min="5893" max="5893" width="12.28515625" customWidth="1"/>
    <col min="5894" max="5894" width="15.140625" customWidth="1"/>
    <col min="5895" max="5895" width="12.140625" customWidth="1"/>
    <col min="5896" max="5896" width="10.85546875" customWidth="1"/>
    <col min="6145" max="6145" width="4.42578125" customWidth="1"/>
    <col min="6146" max="6146" width="3.7109375" customWidth="1"/>
    <col min="6147" max="6147" width="46.140625" customWidth="1"/>
    <col min="6148" max="6148" width="18.85546875" customWidth="1"/>
    <col min="6149" max="6149" width="12.28515625" customWidth="1"/>
    <col min="6150" max="6150" width="15.140625" customWidth="1"/>
    <col min="6151" max="6151" width="12.140625" customWidth="1"/>
    <col min="6152" max="6152" width="10.85546875" customWidth="1"/>
    <col min="6401" max="6401" width="4.42578125" customWidth="1"/>
    <col min="6402" max="6402" width="3.7109375" customWidth="1"/>
    <col min="6403" max="6403" width="46.140625" customWidth="1"/>
    <col min="6404" max="6404" width="18.85546875" customWidth="1"/>
    <col min="6405" max="6405" width="12.28515625" customWidth="1"/>
    <col min="6406" max="6406" width="15.140625" customWidth="1"/>
    <col min="6407" max="6407" width="12.140625" customWidth="1"/>
    <col min="6408" max="6408" width="10.85546875" customWidth="1"/>
    <col min="6657" max="6657" width="4.42578125" customWidth="1"/>
    <col min="6658" max="6658" width="3.7109375" customWidth="1"/>
    <col min="6659" max="6659" width="46.140625" customWidth="1"/>
    <col min="6660" max="6660" width="18.85546875" customWidth="1"/>
    <col min="6661" max="6661" width="12.28515625" customWidth="1"/>
    <col min="6662" max="6662" width="15.140625" customWidth="1"/>
    <col min="6663" max="6663" width="12.140625" customWidth="1"/>
    <col min="6664" max="6664" width="10.85546875" customWidth="1"/>
    <col min="6913" max="6913" width="4.42578125" customWidth="1"/>
    <col min="6914" max="6914" width="3.7109375" customWidth="1"/>
    <col min="6915" max="6915" width="46.140625" customWidth="1"/>
    <col min="6916" max="6916" width="18.85546875" customWidth="1"/>
    <col min="6917" max="6917" width="12.28515625" customWidth="1"/>
    <col min="6918" max="6918" width="15.140625" customWidth="1"/>
    <col min="6919" max="6919" width="12.140625" customWidth="1"/>
    <col min="6920" max="6920" width="10.85546875" customWidth="1"/>
    <col min="7169" max="7169" width="4.42578125" customWidth="1"/>
    <col min="7170" max="7170" width="3.7109375" customWidth="1"/>
    <col min="7171" max="7171" width="46.140625" customWidth="1"/>
    <col min="7172" max="7172" width="18.85546875" customWidth="1"/>
    <col min="7173" max="7173" width="12.28515625" customWidth="1"/>
    <col min="7174" max="7174" width="15.140625" customWidth="1"/>
    <col min="7175" max="7175" width="12.140625" customWidth="1"/>
    <col min="7176" max="7176" width="10.85546875" customWidth="1"/>
    <col min="7425" max="7425" width="4.42578125" customWidth="1"/>
    <col min="7426" max="7426" width="3.7109375" customWidth="1"/>
    <col min="7427" max="7427" width="46.140625" customWidth="1"/>
    <col min="7428" max="7428" width="18.85546875" customWidth="1"/>
    <col min="7429" max="7429" width="12.28515625" customWidth="1"/>
    <col min="7430" max="7430" width="15.140625" customWidth="1"/>
    <col min="7431" max="7431" width="12.140625" customWidth="1"/>
    <col min="7432" max="7432" width="10.85546875" customWidth="1"/>
    <col min="7681" max="7681" width="4.42578125" customWidth="1"/>
    <col min="7682" max="7682" width="3.7109375" customWidth="1"/>
    <col min="7683" max="7683" width="46.140625" customWidth="1"/>
    <col min="7684" max="7684" width="18.85546875" customWidth="1"/>
    <col min="7685" max="7685" width="12.28515625" customWidth="1"/>
    <col min="7686" max="7686" width="15.140625" customWidth="1"/>
    <col min="7687" max="7687" width="12.140625" customWidth="1"/>
    <col min="7688" max="7688" width="10.85546875" customWidth="1"/>
    <col min="7937" max="7937" width="4.42578125" customWidth="1"/>
    <col min="7938" max="7938" width="3.7109375" customWidth="1"/>
    <col min="7939" max="7939" width="46.140625" customWidth="1"/>
    <col min="7940" max="7940" width="18.85546875" customWidth="1"/>
    <col min="7941" max="7941" width="12.28515625" customWidth="1"/>
    <col min="7942" max="7942" width="15.140625" customWidth="1"/>
    <col min="7943" max="7943" width="12.140625" customWidth="1"/>
    <col min="7944" max="7944" width="10.85546875" customWidth="1"/>
    <col min="8193" max="8193" width="4.42578125" customWidth="1"/>
    <col min="8194" max="8194" width="3.7109375" customWidth="1"/>
    <col min="8195" max="8195" width="46.140625" customWidth="1"/>
    <col min="8196" max="8196" width="18.85546875" customWidth="1"/>
    <col min="8197" max="8197" width="12.28515625" customWidth="1"/>
    <col min="8198" max="8198" width="15.140625" customWidth="1"/>
    <col min="8199" max="8199" width="12.140625" customWidth="1"/>
    <col min="8200" max="8200" width="10.85546875" customWidth="1"/>
    <col min="8449" max="8449" width="4.42578125" customWidth="1"/>
    <col min="8450" max="8450" width="3.7109375" customWidth="1"/>
    <col min="8451" max="8451" width="46.140625" customWidth="1"/>
    <col min="8452" max="8452" width="18.85546875" customWidth="1"/>
    <col min="8453" max="8453" width="12.28515625" customWidth="1"/>
    <col min="8454" max="8454" width="15.140625" customWidth="1"/>
    <col min="8455" max="8455" width="12.140625" customWidth="1"/>
    <col min="8456" max="8456" width="10.85546875" customWidth="1"/>
    <col min="8705" max="8705" width="4.42578125" customWidth="1"/>
    <col min="8706" max="8706" width="3.7109375" customWidth="1"/>
    <col min="8707" max="8707" width="46.140625" customWidth="1"/>
    <col min="8708" max="8708" width="18.85546875" customWidth="1"/>
    <col min="8709" max="8709" width="12.28515625" customWidth="1"/>
    <col min="8710" max="8710" width="15.140625" customWidth="1"/>
    <col min="8711" max="8711" width="12.140625" customWidth="1"/>
    <col min="8712" max="8712" width="10.85546875" customWidth="1"/>
    <col min="8961" max="8961" width="4.42578125" customWidth="1"/>
    <col min="8962" max="8962" width="3.7109375" customWidth="1"/>
    <col min="8963" max="8963" width="46.140625" customWidth="1"/>
    <col min="8964" max="8964" width="18.85546875" customWidth="1"/>
    <col min="8965" max="8965" width="12.28515625" customWidth="1"/>
    <col min="8966" max="8966" width="15.140625" customWidth="1"/>
    <col min="8967" max="8967" width="12.140625" customWidth="1"/>
    <col min="8968" max="8968" width="10.85546875" customWidth="1"/>
    <col min="9217" max="9217" width="4.42578125" customWidth="1"/>
    <col min="9218" max="9218" width="3.7109375" customWidth="1"/>
    <col min="9219" max="9219" width="46.140625" customWidth="1"/>
    <col min="9220" max="9220" width="18.85546875" customWidth="1"/>
    <col min="9221" max="9221" width="12.28515625" customWidth="1"/>
    <col min="9222" max="9222" width="15.140625" customWidth="1"/>
    <col min="9223" max="9223" width="12.140625" customWidth="1"/>
    <col min="9224" max="9224" width="10.85546875" customWidth="1"/>
    <col min="9473" max="9473" width="4.42578125" customWidth="1"/>
    <col min="9474" max="9474" width="3.7109375" customWidth="1"/>
    <col min="9475" max="9475" width="46.140625" customWidth="1"/>
    <col min="9476" max="9476" width="18.85546875" customWidth="1"/>
    <col min="9477" max="9477" width="12.28515625" customWidth="1"/>
    <col min="9478" max="9478" width="15.140625" customWidth="1"/>
    <col min="9479" max="9479" width="12.140625" customWidth="1"/>
    <col min="9480" max="9480" width="10.85546875" customWidth="1"/>
    <col min="9729" max="9729" width="4.42578125" customWidth="1"/>
    <col min="9730" max="9730" width="3.7109375" customWidth="1"/>
    <col min="9731" max="9731" width="46.140625" customWidth="1"/>
    <col min="9732" max="9732" width="18.85546875" customWidth="1"/>
    <col min="9733" max="9733" width="12.28515625" customWidth="1"/>
    <col min="9734" max="9734" width="15.140625" customWidth="1"/>
    <col min="9735" max="9735" width="12.140625" customWidth="1"/>
    <col min="9736" max="9736" width="10.85546875" customWidth="1"/>
    <col min="9985" max="9985" width="4.42578125" customWidth="1"/>
    <col min="9986" max="9986" width="3.7109375" customWidth="1"/>
    <col min="9987" max="9987" width="46.140625" customWidth="1"/>
    <col min="9988" max="9988" width="18.85546875" customWidth="1"/>
    <col min="9989" max="9989" width="12.28515625" customWidth="1"/>
    <col min="9990" max="9990" width="15.140625" customWidth="1"/>
    <col min="9991" max="9991" width="12.140625" customWidth="1"/>
    <col min="9992" max="9992" width="10.85546875" customWidth="1"/>
    <col min="10241" max="10241" width="4.42578125" customWidth="1"/>
    <col min="10242" max="10242" width="3.7109375" customWidth="1"/>
    <col min="10243" max="10243" width="46.140625" customWidth="1"/>
    <col min="10244" max="10244" width="18.85546875" customWidth="1"/>
    <col min="10245" max="10245" width="12.28515625" customWidth="1"/>
    <col min="10246" max="10246" width="15.140625" customWidth="1"/>
    <col min="10247" max="10247" width="12.140625" customWidth="1"/>
    <col min="10248" max="10248" width="10.85546875" customWidth="1"/>
    <col min="10497" max="10497" width="4.42578125" customWidth="1"/>
    <col min="10498" max="10498" width="3.7109375" customWidth="1"/>
    <col min="10499" max="10499" width="46.140625" customWidth="1"/>
    <col min="10500" max="10500" width="18.85546875" customWidth="1"/>
    <col min="10501" max="10501" width="12.28515625" customWidth="1"/>
    <col min="10502" max="10502" width="15.140625" customWidth="1"/>
    <col min="10503" max="10503" width="12.140625" customWidth="1"/>
    <col min="10504" max="10504" width="10.85546875" customWidth="1"/>
    <col min="10753" max="10753" width="4.42578125" customWidth="1"/>
    <col min="10754" max="10754" width="3.7109375" customWidth="1"/>
    <col min="10755" max="10755" width="46.140625" customWidth="1"/>
    <col min="10756" max="10756" width="18.85546875" customWidth="1"/>
    <col min="10757" max="10757" width="12.28515625" customWidth="1"/>
    <col min="10758" max="10758" width="15.140625" customWidth="1"/>
    <col min="10759" max="10759" width="12.140625" customWidth="1"/>
    <col min="10760" max="10760" width="10.85546875" customWidth="1"/>
    <col min="11009" max="11009" width="4.42578125" customWidth="1"/>
    <col min="11010" max="11010" width="3.7109375" customWidth="1"/>
    <col min="11011" max="11011" width="46.140625" customWidth="1"/>
    <col min="11012" max="11012" width="18.85546875" customWidth="1"/>
    <col min="11013" max="11013" width="12.28515625" customWidth="1"/>
    <col min="11014" max="11014" width="15.140625" customWidth="1"/>
    <col min="11015" max="11015" width="12.140625" customWidth="1"/>
    <col min="11016" max="11016" width="10.85546875" customWidth="1"/>
    <col min="11265" max="11265" width="4.42578125" customWidth="1"/>
    <col min="11266" max="11266" width="3.7109375" customWidth="1"/>
    <col min="11267" max="11267" width="46.140625" customWidth="1"/>
    <col min="11268" max="11268" width="18.85546875" customWidth="1"/>
    <col min="11269" max="11269" width="12.28515625" customWidth="1"/>
    <col min="11270" max="11270" width="15.140625" customWidth="1"/>
    <col min="11271" max="11271" width="12.140625" customWidth="1"/>
    <col min="11272" max="11272" width="10.85546875" customWidth="1"/>
    <col min="11521" max="11521" width="4.42578125" customWidth="1"/>
    <col min="11522" max="11522" width="3.7109375" customWidth="1"/>
    <col min="11523" max="11523" width="46.140625" customWidth="1"/>
    <col min="11524" max="11524" width="18.85546875" customWidth="1"/>
    <col min="11525" max="11525" width="12.28515625" customWidth="1"/>
    <col min="11526" max="11526" width="15.140625" customWidth="1"/>
    <col min="11527" max="11527" width="12.140625" customWidth="1"/>
    <col min="11528" max="11528" width="10.85546875" customWidth="1"/>
    <col min="11777" max="11777" width="4.42578125" customWidth="1"/>
    <col min="11778" max="11778" width="3.7109375" customWidth="1"/>
    <col min="11779" max="11779" width="46.140625" customWidth="1"/>
    <col min="11780" max="11780" width="18.85546875" customWidth="1"/>
    <col min="11781" max="11781" width="12.28515625" customWidth="1"/>
    <col min="11782" max="11782" width="15.140625" customWidth="1"/>
    <col min="11783" max="11783" width="12.140625" customWidth="1"/>
    <col min="11784" max="11784" width="10.85546875" customWidth="1"/>
    <col min="12033" max="12033" width="4.42578125" customWidth="1"/>
    <col min="12034" max="12034" width="3.7109375" customWidth="1"/>
    <col min="12035" max="12035" width="46.140625" customWidth="1"/>
    <col min="12036" max="12036" width="18.85546875" customWidth="1"/>
    <col min="12037" max="12037" width="12.28515625" customWidth="1"/>
    <col min="12038" max="12038" width="15.140625" customWidth="1"/>
    <col min="12039" max="12039" width="12.140625" customWidth="1"/>
    <col min="12040" max="12040" width="10.85546875" customWidth="1"/>
    <col min="12289" max="12289" width="4.42578125" customWidth="1"/>
    <col min="12290" max="12290" width="3.7109375" customWidth="1"/>
    <col min="12291" max="12291" width="46.140625" customWidth="1"/>
    <col min="12292" max="12292" width="18.85546875" customWidth="1"/>
    <col min="12293" max="12293" width="12.28515625" customWidth="1"/>
    <col min="12294" max="12294" width="15.140625" customWidth="1"/>
    <col min="12295" max="12295" width="12.140625" customWidth="1"/>
    <col min="12296" max="12296" width="10.85546875" customWidth="1"/>
    <col min="12545" max="12545" width="4.42578125" customWidth="1"/>
    <col min="12546" max="12546" width="3.7109375" customWidth="1"/>
    <col min="12547" max="12547" width="46.140625" customWidth="1"/>
    <col min="12548" max="12548" width="18.85546875" customWidth="1"/>
    <col min="12549" max="12549" width="12.28515625" customWidth="1"/>
    <col min="12550" max="12550" width="15.140625" customWidth="1"/>
    <col min="12551" max="12551" width="12.140625" customWidth="1"/>
    <col min="12552" max="12552" width="10.85546875" customWidth="1"/>
    <col min="12801" max="12801" width="4.42578125" customWidth="1"/>
    <col min="12802" max="12802" width="3.7109375" customWidth="1"/>
    <col min="12803" max="12803" width="46.140625" customWidth="1"/>
    <col min="12804" max="12804" width="18.85546875" customWidth="1"/>
    <col min="12805" max="12805" width="12.28515625" customWidth="1"/>
    <col min="12806" max="12806" width="15.140625" customWidth="1"/>
    <col min="12807" max="12807" width="12.140625" customWidth="1"/>
    <col min="12808" max="12808" width="10.85546875" customWidth="1"/>
    <col min="13057" max="13057" width="4.42578125" customWidth="1"/>
    <col min="13058" max="13058" width="3.7109375" customWidth="1"/>
    <col min="13059" max="13059" width="46.140625" customWidth="1"/>
    <col min="13060" max="13060" width="18.85546875" customWidth="1"/>
    <col min="13061" max="13061" width="12.28515625" customWidth="1"/>
    <col min="13062" max="13062" width="15.140625" customWidth="1"/>
    <col min="13063" max="13063" width="12.140625" customWidth="1"/>
    <col min="13064" max="13064" width="10.85546875" customWidth="1"/>
    <col min="13313" max="13313" width="4.42578125" customWidth="1"/>
    <col min="13314" max="13314" width="3.7109375" customWidth="1"/>
    <col min="13315" max="13315" width="46.140625" customWidth="1"/>
    <col min="13316" max="13316" width="18.85546875" customWidth="1"/>
    <col min="13317" max="13317" width="12.28515625" customWidth="1"/>
    <col min="13318" max="13318" width="15.140625" customWidth="1"/>
    <col min="13319" max="13319" width="12.140625" customWidth="1"/>
    <col min="13320" max="13320" width="10.85546875" customWidth="1"/>
    <col min="13569" max="13569" width="4.42578125" customWidth="1"/>
    <col min="13570" max="13570" width="3.7109375" customWidth="1"/>
    <col min="13571" max="13571" width="46.140625" customWidth="1"/>
    <col min="13572" max="13572" width="18.85546875" customWidth="1"/>
    <col min="13573" max="13573" width="12.28515625" customWidth="1"/>
    <col min="13574" max="13574" width="15.140625" customWidth="1"/>
    <col min="13575" max="13575" width="12.140625" customWidth="1"/>
    <col min="13576" max="13576" width="10.85546875" customWidth="1"/>
    <col min="13825" max="13825" width="4.42578125" customWidth="1"/>
    <col min="13826" max="13826" width="3.7109375" customWidth="1"/>
    <col min="13827" max="13827" width="46.140625" customWidth="1"/>
    <col min="13828" max="13828" width="18.85546875" customWidth="1"/>
    <col min="13829" max="13829" width="12.28515625" customWidth="1"/>
    <col min="13830" max="13830" width="15.140625" customWidth="1"/>
    <col min="13831" max="13831" width="12.140625" customWidth="1"/>
    <col min="13832" max="13832" width="10.85546875" customWidth="1"/>
    <col min="14081" max="14081" width="4.42578125" customWidth="1"/>
    <col min="14082" max="14082" width="3.7109375" customWidth="1"/>
    <col min="14083" max="14083" width="46.140625" customWidth="1"/>
    <col min="14084" max="14084" width="18.85546875" customWidth="1"/>
    <col min="14085" max="14085" width="12.28515625" customWidth="1"/>
    <col min="14086" max="14086" width="15.140625" customWidth="1"/>
    <col min="14087" max="14087" width="12.140625" customWidth="1"/>
    <col min="14088" max="14088" width="10.85546875" customWidth="1"/>
    <col min="14337" max="14337" width="4.42578125" customWidth="1"/>
    <col min="14338" max="14338" width="3.7109375" customWidth="1"/>
    <col min="14339" max="14339" width="46.140625" customWidth="1"/>
    <col min="14340" max="14340" width="18.85546875" customWidth="1"/>
    <col min="14341" max="14341" width="12.28515625" customWidth="1"/>
    <col min="14342" max="14342" width="15.140625" customWidth="1"/>
    <col min="14343" max="14343" width="12.140625" customWidth="1"/>
    <col min="14344" max="14344" width="10.85546875" customWidth="1"/>
    <col min="14593" max="14593" width="4.42578125" customWidth="1"/>
    <col min="14594" max="14594" width="3.7109375" customWidth="1"/>
    <col min="14595" max="14595" width="46.140625" customWidth="1"/>
    <col min="14596" max="14596" width="18.85546875" customWidth="1"/>
    <col min="14597" max="14597" width="12.28515625" customWidth="1"/>
    <col min="14598" max="14598" width="15.140625" customWidth="1"/>
    <col min="14599" max="14599" width="12.140625" customWidth="1"/>
    <col min="14600" max="14600" width="10.85546875" customWidth="1"/>
    <col min="14849" max="14849" width="4.42578125" customWidth="1"/>
    <col min="14850" max="14850" width="3.7109375" customWidth="1"/>
    <col min="14851" max="14851" width="46.140625" customWidth="1"/>
    <col min="14852" max="14852" width="18.85546875" customWidth="1"/>
    <col min="14853" max="14853" width="12.28515625" customWidth="1"/>
    <col min="14854" max="14854" width="15.140625" customWidth="1"/>
    <col min="14855" max="14855" width="12.140625" customWidth="1"/>
    <col min="14856" max="14856" width="10.85546875" customWidth="1"/>
    <col min="15105" max="15105" width="4.42578125" customWidth="1"/>
    <col min="15106" max="15106" width="3.7109375" customWidth="1"/>
    <col min="15107" max="15107" width="46.140625" customWidth="1"/>
    <col min="15108" max="15108" width="18.85546875" customWidth="1"/>
    <col min="15109" max="15109" width="12.28515625" customWidth="1"/>
    <col min="15110" max="15110" width="15.140625" customWidth="1"/>
    <col min="15111" max="15111" width="12.140625" customWidth="1"/>
    <col min="15112" max="15112" width="10.85546875" customWidth="1"/>
    <col min="15361" max="15361" width="4.42578125" customWidth="1"/>
    <col min="15362" max="15362" width="3.7109375" customWidth="1"/>
    <col min="15363" max="15363" width="46.140625" customWidth="1"/>
    <col min="15364" max="15364" width="18.85546875" customWidth="1"/>
    <col min="15365" max="15365" width="12.28515625" customWidth="1"/>
    <col min="15366" max="15366" width="15.140625" customWidth="1"/>
    <col min="15367" max="15367" width="12.140625" customWidth="1"/>
    <col min="15368" max="15368" width="10.85546875" customWidth="1"/>
    <col min="15617" max="15617" width="4.42578125" customWidth="1"/>
    <col min="15618" max="15618" width="3.7109375" customWidth="1"/>
    <col min="15619" max="15619" width="46.140625" customWidth="1"/>
    <col min="15620" max="15620" width="18.85546875" customWidth="1"/>
    <col min="15621" max="15621" width="12.28515625" customWidth="1"/>
    <col min="15622" max="15622" width="15.140625" customWidth="1"/>
    <col min="15623" max="15623" width="12.140625" customWidth="1"/>
    <col min="15624" max="15624" width="10.85546875" customWidth="1"/>
    <col min="15873" max="15873" width="4.42578125" customWidth="1"/>
    <col min="15874" max="15874" width="3.7109375" customWidth="1"/>
    <col min="15875" max="15875" width="46.140625" customWidth="1"/>
    <col min="15876" max="15876" width="18.85546875" customWidth="1"/>
    <col min="15877" max="15877" width="12.28515625" customWidth="1"/>
    <col min="15878" max="15878" width="15.140625" customWidth="1"/>
    <col min="15879" max="15879" width="12.140625" customWidth="1"/>
    <col min="15880" max="15880" width="10.85546875" customWidth="1"/>
    <col min="16129" max="16129" width="4.42578125" customWidth="1"/>
    <col min="16130" max="16130" width="3.7109375" customWidth="1"/>
    <col min="16131" max="16131" width="46.140625" customWidth="1"/>
    <col min="16132" max="16132" width="18.85546875" customWidth="1"/>
    <col min="16133" max="16133" width="12.28515625" customWidth="1"/>
    <col min="16134" max="16134" width="15.140625" customWidth="1"/>
    <col min="16135" max="16135" width="12.140625" customWidth="1"/>
    <col min="16136" max="16136" width="10.85546875" customWidth="1"/>
  </cols>
  <sheetData>
    <row r="1" spans="1:8" ht="21">
      <c r="A1" s="1" t="s">
        <v>0</v>
      </c>
      <c r="B1" s="1"/>
      <c r="H1" s="2" t="s">
        <v>527</v>
      </c>
    </row>
    <row r="3" spans="1:8" ht="15.75">
      <c r="A3" s="287" t="s">
        <v>275</v>
      </c>
      <c r="B3" s="4"/>
      <c r="F3" s="85"/>
      <c r="G3" s="86" t="s">
        <v>2</v>
      </c>
      <c r="H3" s="86" t="s">
        <v>3</v>
      </c>
    </row>
    <row r="4" spans="1:8" ht="15.75">
      <c r="A4" s="287" t="s">
        <v>4</v>
      </c>
      <c r="B4" s="4"/>
      <c r="F4" s="85" t="s">
        <v>5</v>
      </c>
      <c r="G4" s="85"/>
      <c r="H4" s="85"/>
    </row>
    <row r="5" spans="1:8">
      <c r="A5" s="287"/>
      <c r="B5" s="7"/>
      <c r="F5" s="85" t="s">
        <v>6</v>
      </c>
      <c r="G5" s="85"/>
      <c r="H5" s="85"/>
    </row>
    <row r="6" spans="1:8">
      <c r="A6" s="287"/>
      <c r="B6" s="7"/>
      <c r="E6" s="8"/>
      <c r="F6" s="8"/>
      <c r="G6" s="8"/>
    </row>
    <row r="7" spans="1:8" ht="15.75">
      <c r="A7" s="287" t="s">
        <v>193</v>
      </c>
      <c r="B7" s="4"/>
    </row>
    <row r="8" spans="1:8" ht="15.75">
      <c r="A8" s="4"/>
      <c r="B8" s="4"/>
    </row>
    <row r="9" spans="1:8" ht="15.75">
      <c r="A9" s="4"/>
      <c r="B9" s="4"/>
    </row>
    <row r="10" spans="1:8" ht="15.75">
      <c r="A10" s="4"/>
      <c r="B10" s="4"/>
    </row>
    <row r="11" spans="1:8" ht="15.75">
      <c r="A11" s="4"/>
      <c r="B11" s="4"/>
    </row>
    <row r="12" spans="1:8" ht="15.75">
      <c r="A12" s="4"/>
      <c r="B12" s="4"/>
    </row>
    <row r="13" spans="1:8" ht="15.75">
      <c r="A13" s="4"/>
      <c r="B13" s="4"/>
    </row>
    <row r="14" spans="1:8" ht="15.75">
      <c r="A14" s="4"/>
      <c r="B14" s="4"/>
    </row>
    <row r="25" spans="1:8">
      <c r="A25" s="9" t="s">
        <v>92</v>
      </c>
      <c r="B25" s="9"/>
      <c r="G25" s="2" t="s">
        <v>359</v>
      </c>
      <c r="H25" s="561" t="s">
        <v>353</v>
      </c>
    </row>
    <row r="26" spans="1:8">
      <c r="A26" s="9"/>
      <c r="B26" s="9"/>
      <c r="H26" s="165"/>
    </row>
    <row r="27" spans="1:8">
      <c r="A27" s="244">
        <v>1.1000000000000001</v>
      </c>
      <c r="B27" s="243" t="s">
        <v>372</v>
      </c>
      <c r="G27" s="123" t="s">
        <v>24</v>
      </c>
      <c r="H27" s="123" t="s">
        <v>24</v>
      </c>
    </row>
    <row r="28" spans="1:8">
      <c r="A28" s="244"/>
      <c r="B28" s="243" t="s">
        <v>373</v>
      </c>
      <c r="G28" s="123" t="s">
        <v>24</v>
      </c>
      <c r="H28" s="123" t="s">
        <v>24</v>
      </c>
    </row>
    <row r="29" spans="1:8">
      <c r="A29" s="244"/>
      <c r="B29" s="562" t="s">
        <v>415</v>
      </c>
      <c r="G29" s="165"/>
      <c r="H29" s="165"/>
    </row>
    <row r="30" spans="1:8">
      <c r="A30" s="244"/>
      <c r="B30" s="243"/>
      <c r="G30" s="165"/>
      <c r="H30" s="165"/>
    </row>
    <row r="31" spans="1:8">
      <c r="A31" s="244">
        <v>1.2</v>
      </c>
      <c r="B31" s="243" t="s">
        <v>374</v>
      </c>
      <c r="G31" s="123" t="s">
        <v>24</v>
      </c>
      <c r="H31" s="123" t="s">
        <v>24</v>
      </c>
    </row>
    <row r="32" spans="1:8">
      <c r="A32" s="244"/>
      <c r="B32" s="243" t="s">
        <v>375</v>
      </c>
      <c r="G32" s="165"/>
      <c r="H32" s="165"/>
    </row>
    <row r="33" spans="1:8">
      <c r="A33" s="244"/>
      <c r="B33" s="562" t="s">
        <v>415</v>
      </c>
      <c r="G33" s="165"/>
      <c r="H33" s="165"/>
    </row>
    <row r="34" spans="1:8">
      <c r="A34" s="244"/>
      <c r="B34" s="243"/>
      <c r="G34" s="165"/>
      <c r="H34" s="165"/>
    </row>
    <row r="35" spans="1:8">
      <c r="A35" s="244">
        <v>1.3</v>
      </c>
      <c r="B35" s="243" t="s">
        <v>376</v>
      </c>
      <c r="G35" s="123" t="s">
        <v>24</v>
      </c>
      <c r="H35" s="123" t="s">
        <v>24</v>
      </c>
    </row>
    <row r="36" spans="1:8">
      <c r="A36" s="244"/>
      <c r="B36" s="243" t="s">
        <v>377</v>
      </c>
      <c r="G36" s="165"/>
      <c r="H36" s="165"/>
    </row>
    <row r="37" spans="1:8">
      <c r="A37" s="244"/>
      <c r="B37" s="243" t="s">
        <v>111</v>
      </c>
      <c r="G37" s="165"/>
      <c r="H37" s="165"/>
    </row>
    <row r="38" spans="1:8">
      <c r="A38" s="9"/>
      <c r="B38" s="562" t="s">
        <v>415</v>
      </c>
      <c r="G38" s="165"/>
      <c r="H38" s="165"/>
    </row>
    <row r="39" spans="1:8">
      <c r="A39" s="9"/>
      <c r="B39" s="243"/>
      <c r="G39" s="165"/>
      <c r="H39" s="165"/>
    </row>
    <row r="40" spans="1:8">
      <c r="A40" s="244">
        <v>1.4</v>
      </c>
      <c r="B40" s="243" t="s">
        <v>378</v>
      </c>
      <c r="G40" s="123" t="s">
        <v>24</v>
      </c>
      <c r="H40" s="123" t="s">
        <v>24</v>
      </c>
    </row>
    <row r="41" spans="1:8" s="33" customFormat="1">
      <c r="A41" s="459"/>
      <c r="B41" s="243" t="s">
        <v>380</v>
      </c>
    </row>
    <row r="42" spans="1:8">
      <c r="A42" s="9"/>
      <c r="B42" s="243" t="s">
        <v>379</v>
      </c>
    </row>
    <row r="43" spans="1:8">
      <c r="A43" s="9"/>
      <c r="B43" s="562" t="s">
        <v>415</v>
      </c>
    </row>
    <row r="44" spans="1:8">
      <c r="A44" s="9"/>
      <c r="B44" s="243"/>
    </row>
    <row r="45" spans="1:8">
      <c r="A45" s="244">
        <v>1.5</v>
      </c>
      <c r="B45" s="243" t="s">
        <v>381</v>
      </c>
      <c r="D45" s="242"/>
      <c r="E45" s="242"/>
      <c r="F45" s="242"/>
      <c r="G45" s="123"/>
      <c r="H45" s="123"/>
    </row>
    <row r="46" spans="1:8" s="97" customFormat="1">
      <c r="A46" s="96"/>
      <c r="B46" s="454" t="s">
        <v>382</v>
      </c>
      <c r="D46" s="245"/>
      <c r="E46" s="245"/>
      <c r="F46" s="245"/>
      <c r="G46" s="123" t="s">
        <v>24</v>
      </c>
      <c r="H46" s="123" t="s">
        <v>24</v>
      </c>
    </row>
    <row r="47" spans="1:8" s="97" customFormat="1">
      <c r="A47" s="96"/>
      <c r="B47" s="454" t="s">
        <v>561</v>
      </c>
      <c r="D47" s="245"/>
      <c r="E47" s="245"/>
      <c r="F47" s="245"/>
      <c r="G47" s="123" t="s">
        <v>24</v>
      </c>
      <c r="H47" s="123" t="s">
        <v>24</v>
      </c>
    </row>
    <row r="48" spans="1:8">
      <c r="A48" s="244"/>
      <c r="B48" s="611" t="s">
        <v>562</v>
      </c>
      <c r="D48" s="242"/>
      <c r="E48" s="242"/>
      <c r="F48" s="242"/>
      <c r="G48" s="123" t="s">
        <v>24</v>
      </c>
      <c r="H48" s="123" t="s">
        <v>24</v>
      </c>
    </row>
    <row r="49" spans="1:8">
      <c r="A49" s="244"/>
      <c r="B49" s="243" t="s">
        <v>383</v>
      </c>
      <c r="D49" s="242"/>
      <c r="E49" s="242"/>
      <c r="F49" s="242"/>
      <c r="G49" s="242"/>
      <c r="H49" s="242"/>
    </row>
    <row r="50" spans="1:8">
      <c r="A50" s="244"/>
      <c r="B50" s="243" t="s">
        <v>111</v>
      </c>
      <c r="D50" s="242"/>
      <c r="E50" s="242"/>
      <c r="F50" s="242"/>
      <c r="G50" s="242"/>
      <c r="H50" s="242"/>
    </row>
    <row r="51" spans="1:8">
      <c r="A51" s="244"/>
      <c r="B51" s="562" t="s">
        <v>415</v>
      </c>
      <c r="D51" s="242"/>
      <c r="E51" s="242"/>
      <c r="F51" s="242"/>
      <c r="G51" s="242"/>
      <c r="H51" s="242"/>
    </row>
    <row r="52" spans="1:8">
      <c r="A52" s="244"/>
      <c r="B52" s="243"/>
      <c r="D52" s="242"/>
      <c r="E52" s="242"/>
      <c r="F52" s="242"/>
      <c r="G52" s="242"/>
      <c r="H52" s="242"/>
    </row>
    <row r="53" spans="1:8">
      <c r="A53" s="244">
        <v>1.6</v>
      </c>
      <c r="B53" s="243" t="s">
        <v>384</v>
      </c>
      <c r="D53" s="242"/>
      <c r="E53" s="242"/>
      <c r="F53" s="242"/>
      <c r="G53" s="123" t="s">
        <v>24</v>
      </c>
      <c r="H53" s="123" t="s">
        <v>24</v>
      </c>
    </row>
    <row r="54" spans="1:8" s="97" customFormat="1">
      <c r="A54" s="96"/>
      <c r="B54" s="243" t="s">
        <v>385</v>
      </c>
      <c r="D54" s="245"/>
      <c r="E54" s="245"/>
      <c r="F54" s="245"/>
      <c r="G54" s="245"/>
      <c r="H54" s="245"/>
    </row>
    <row r="55" spans="1:8" s="97" customFormat="1">
      <c r="A55" s="96"/>
      <c r="B55" s="243" t="s">
        <v>528</v>
      </c>
      <c r="D55" s="245"/>
      <c r="E55" s="245"/>
      <c r="F55" s="245"/>
      <c r="G55" s="245"/>
      <c r="H55" s="245"/>
    </row>
    <row r="56" spans="1:8">
      <c r="A56" s="244"/>
      <c r="B56" s="562" t="s">
        <v>415</v>
      </c>
      <c r="D56" s="242"/>
      <c r="E56" s="242"/>
      <c r="F56" s="242"/>
      <c r="G56" s="242"/>
      <c r="H56" s="242"/>
    </row>
    <row r="57" spans="1:8">
      <c r="A57" s="244"/>
      <c r="B57" s="243"/>
      <c r="D57" s="242"/>
      <c r="E57" s="242"/>
      <c r="F57" s="242"/>
      <c r="G57" s="242"/>
      <c r="H57" s="242"/>
    </row>
    <row r="58" spans="1:8">
      <c r="A58" s="244">
        <v>1.7</v>
      </c>
      <c r="B58" s="243" t="s">
        <v>386</v>
      </c>
      <c r="D58" s="242"/>
      <c r="E58" s="242"/>
      <c r="F58" s="242"/>
      <c r="G58" s="123" t="s">
        <v>24</v>
      </c>
      <c r="H58" s="123" t="s">
        <v>24</v>
      </c>
    </row>
    <row r="59" spans="1:8" s="97" customFormat="1">
      <c r="A59" s="96"/>
      <c r="B59" s="243" t="s">
        <v>387</v>
      </c>
      <c r="D59" s="245"/>
      <c r="E59" s="245"/>
      <c r="F59" s="245"/>
      <c r="G59" s="245"/>
      <c r="H59" s="245"/>
    </row>
    <row r="60" spans="1:8" s="97" customFormat="1">
      <c r="A60" s="96"/>
      <c r="B60" s="454" t="s">
        <v>388</v>
      </c>
      <c r="D60" s="245"/>
      <c r="E60" s="245"/>
      <c r="F60" s="245"/>
      <c r="G60" s="123" t="s">
        <v>24</v>
      </c>
      <c r="H60" s="123" t="s">
        <v>24</v>
      </c>
    </row>
    <row r="61" spans="1:8">
      <c r="A61" s="244"/>
      <c r="B61" s="454" t="s">
        <v>389</v>
      </c>
      <c r="D61" s="242"/>
      <c r="E61" s="242"/>
      <c r="F61" s="242"/>
      <c r="G61" s="123" t="s">
        <v>24</v>
      </c>
      <c r="H61" s="123" t="s">
        <v>24</v>
      </c>
    </row>
    <row r="62" spans="1:8">
      <c r="A62" s="244"/>
      <c r="B62" s="562" t="s">
        <v>415</v>
      </c>
      <c r="D62" s="242"/>
      <c r="E62" s="242"/>
      <c r="F62" s="242"/>
      <c r="G62" s="242"/>
      <c r="H62" s="242"/>
    </row>
    <row r="63" spans="1:8">
      <c r="A63" s="244"/>
      <c r="B63" s="243"/>
      <c r="D63" s="242"/>
      <c r="E63" s="242"/>
      <c r="F63" s="242"/>
      <c r="G63" s="242"/>
      <c r="H63" s="242"/>
    </row>
    <row r="64" spans="1:8">
      <c r="A64" s="244">
        <v>1.8</v>
      </c>
      <c r="B64" s="243" t="s">
        <v>390</v>
      </c>
      <c r="D64" s="242"/>
      <c r="E64" s="242"/>
      <c r="F64" s="242"/>
      <c r="G64" s="123" t="s">
        <v>24</v>
      </c>
      <c r="H64" s="123" t="s">
        <v>24</v>
      </c>
    </row>
    <row r="65" spans="1:8" s="97" customFormat="1">
      <c r="A65" s="96"/>
      <c r="B65" s="243" t="s">
        <v>391</v>
      </c>
      <c r="D65" s="245"/>
      <c r="E65" s="245"/>
      <c r="F65" s="245"/>
      <c r="G65" s="245"/>
      <c r="H65" s="245"/>
    </row>
    <row r="66" spans="1:8" s="97" customFormat="1">
      <c r="A66" s="96"/>
      <c r="B66" s="243" t="s">
        <v>392</v>
      </c>
      <c r="D66" s="245"/>
      <c r="E66" s="245"/>
      <c r="F66" s="245"/>
      <c r="G66" s="245"/>
      <c r="H66" s="245"/>
    </row>
    <row r="67" spans="1:8">
      <c r="A67" s="244"/>
      <c r="B67" s="562" t="s">
        <v>415</v>
      </c>
      <c r="D67" s="242"/>
      <c r="E67" s="242"/>
      <c r="F67" s="242"/>
      <c r="G67" s="242"/>
      <c r="H67" s="242"/>
    </row>
    <row r="68" spans="1:8">
      <c r="A68" s="244"/>
      <c r="B68" s="243"/>
      <c r="D68" s="242"/>
      <c r="E68" s="242"/>
      <c r="F68" s="242"/>
      <c r="G68" s="242"/>
      <c r="H68" s="242"/>
    </row>
    <row r="69" spans="1:8">
      <c r="A69" s="244">
        <v>1.9</v>
      </c>
      <c r="B69" s="243" t="s">
        <v>393</v>
      </c>
      <c r="D69" s="242"/>
      <c r="E69" s="242"/>
      <c r="F69" s="242"/>
      <c r="G69" s="123" t="s">
        <v>24</v>
      </c>
      <c r="H69" s="123" t="s">
        <v>24</v>
      </c>
    </row>
    <row r="70" spans="1:8" s="97" customFormat="1">
      <c r="A70" s="96"/>
      <c r="B70" s="243" t="s">
        <v>563</v>
      </c>
      <c r="D70" s="245"/>
      <c r="E70" s="245"/>
      <c r="F70" s="245"/>
      <c r="G70" s="245"/>
      <c r="H70" s="245"/>
    </row>
    <row r="71" spans="1:8" s="97" customFormat="1">
      <c r="A71" s="96"/>
      <c r="B71" s="243" t="s">
        <v>564</v>
      </c>
      <c r="D71" s="245"/>
      <c r="E71" s="245"/>
      <c r="F71" s="245"/>
      <c r="G71" s="245"/>
      <c r="H71" s="245"/>
    </row>
    <row r="72" spans="1:8" s="97" customFormat="1">
      <c r="A72" s="96"/>
      <c r="B72" s="243" t="s">
        <v>565</v>
      </c>
      <c r="D72" s="245"/>
      <c r="E72" s="245"/>
      <c r="F72" s="245"/>
      <c r="G72" s="245"/>
      <c r="H72" s="245"/>
    </row>
    <row r="73" spans="1:8">
      <c r="A73" s="244"/>
      <c r="B73" s="562" t="s">
        <v>415</v>
      </c>
      <c r="D73" s="242"/>
      <c r="E73" s="242"/>
      <c r="F73" s="242"/>
      <c r="G73" s="242"/>
      <c r="H73" s="242"/>
    </row>
    <row r="74" spans="1:8">
      <c r="A74" s="244"/>
      <c r="B74" s="243"/>
      <c r="D74" s="242"/>
      <c r="E74" s="242"/>
      <c r="F74" s="242"/>
      <c r="G74" s="242"/>
      <c r="H74" s="242"/>
    </row>
    <row r="75" spans="1:8">
      <c r="A75" s="596" t="s">
        <v>529</v>
      </c>
      <c r="B75" s="595" t="s">
        <v>530</v>
      </c>
      <c r="D75" s="242"/>
      <c r="E75" s="242"/>
      <c r="F75" s="242"/>
      <c r="G75" s="123" t="s">
        <v>24</v>
      </c>
      <c r="H75" s="123" t="s">
        <v>24</v>
      </c>
    </row>
    <row r="76" spans="1:8">
      <c r="A76" s="244"/>
      <c r="B76" s="562" t="s">
        <v>415</v>
      </c>
      <c r="D76" s="242"/>
      <c r="E76" s="242"/>
      <c r="F76" s="242"/>
      <c r="G76" s="242"/>
      <c r="H76" s="242"/>
    </row>
    <row r="77" spans="1:8">
      <c r="A77" s="244"/>
      <c r="B77" s="243"/>
      <c r="D77" s="242"/>
      <c r="E77" s="242"/>
      <c r="F77" s="242"/>
      <c r="G77" s="242"/>
      <c r="H77" s="242"/>
    </row>
    <row r="78" spans="1:8">
      <c r="A78" s="596" t="s">
        <v>531</v>
      </c>
      <c r="B78" s="595" t="s">
        <v>532</v>
      </c>
      <c r="D78" s="242"/>
      <c r="E78" s="242"/>
      <c r="F78" s="242"/>
      <c r="G78" s="123" t="s">
        <v>24</v>
      </c>
      <c r="H78" s="123" t="s">
        <v>24</v>
      </c>
    </row>
    <row r="79" spans="1:8">
      <c r="A79" s="596"/>
      <c r="B79" s="595" t="s">
        <v>533</v>
      </c>
      <c r="D79" s="242"/>
      <c r="E79" s="242"/>
      <c r="F79" s="242"/>
      <c r="G79" s="123" t="s">
        <v>24</v>
      </c>
      <c r="H79" s="123" t="s">
        <v>24</v>
      </c>
    </row>
    <row r="80" spans="1:8">
      <c r="A80" s="244"/>
      <c r="B80" s="562" t="s">
        <v>415</v>
      </c>
      <c r="D80" s="242"/>
      <c r="E80" s="242"/>
      <c r="F80" s="242"/>
      <c r="G80" s="242"/>
      <c r="H80" s="242"/>
    </row>
    <row r="81" spans="1:8">
      <c r="A81" s="244"/>
      <c r="B81" s="243"/>
      <c r="D81" s="242"/>
      <c r="E81" s="242"/>
      <c r="F81" s="242"/>
      <c r="G81" s="242"/>
      <c r="H81" s="242"/>
    </row>
    <row r="82" spans="1:8">
      <c r="A82" s="244"/>
      <c r="B82" s="243"/>
      <c r="D82" s="242"/>
      <c r="E82" s="242"/>
      <c r="F82" s="242"/>
      <c r="G82" s="242"/>
      <c r="H82" s="242"/>
    </row>
    <row r="83" spans="1:8" s="90" customFormat="1" ht="12.75">
      <c r="A83" s="9" t="s">
        <v>8</v>
      </c>
      <c r="B83" s="9"/>
    </row>
    <row r="84" spans="1:8" s="90" customFormat="1" ht="12.75"/>
    <row r="85" spans="1:8" s="90" customFormat="1" ht="12.75">
      <c r="B85" s="580" t="s">
        <v>9</v>
      </c>
      <c r="C85" s="281" t="s">
        <v>10</v>
      </c>
      <c r="D85" s="281" t="s">
        <v>11</v>
      </c>
      <c r="E85" s="282" t="s">
        <v>25</v>
      </c>
      <c r="F85" s="282" t="s">
        <v>66</v>
      </c>
      <c r="H85" s="95"/>
    </row>
    <row r="86" spans="1:8" s="268" customFormat="1" ht="12.75">
      <c r="B86" s="286"/>
      <c r="C86" s="286"/>
      <c r="D86" s="286"/>
      <c r="E86" s="286"/>
      <c r="F86" s="286"/>
      <c r="H86" s="146"/>
    </row>
    <row r="87" spans="1:8" s="95" customFormat="1" ht="12.75">
      <c r="B87" s="235">
        <v>1</v>
      </c>
      <c r="C87" s="284" t="s">
        <v>394</v>
      </c>
      <c r="D87" s="235"/>
      <c r="E87" s="235"/>
      <c r="F87" s="117"/>
    </row>
    <row r="88" spans="1:8" s="95" customFormat="1" ht="12.75">
      <c r="B88" s="235">
        <v>2</v>
      </c>
      <c r="C88" s="284" t="s">
        <v>395</v>
      </c>
      <c r="D88" s="235"/>
      <c r="E88" s="235"/>
      <c r="F88" s="117"/>
    </row>
    <row r="89" spans="1:8" s="95" customFormat="1" ht="25.5">
      <c r="B89" s="235">
        <v>3</v>
      </c>
      <c r="C89" s="284" t="s">
        <v>396</v>
      </c>
      <c r="D89" s="235"/>
      <c r="E89" s="235"/>
      <c r="F89" s="117"/>
    </row>
    <row r="90" spans="1:8" s="95" customFormat="1" ht="12.75">
      <c r="B90" s="236">
        <v>4</v>
      </c>
      <c r="C90" s="460" t="s">
        <v>273</v>
      </c>
      <c r="D90" s="236"/>
      <c r="E90" s="236"/>
      <c r="F90" s="461"/>
    </row>
    <row r="91" spans="1:8" s="95" customFormat="1" ht="12.75">
      <c r="B91" s="102"/>
      <c r="C91" s="100"/>
      <c r="D91" s="104"/>
      <c r="E91" s="104"/>
      <c r="F91" s="100"/>
    </row>
    <row r="92" spans="1:8" s="90" customFormat="1" ht="12.75">
      <c r="B92" s="264"/>
      <c r="C92" s="578" t="s">
        <v>14</v>
      </c>
      <c r="D92" s="265"/>
      <c r="E92" s="266"/>
      <c r="F92" s="267"/>
      <c r="H92" s="95"/>
    </row>
    <row r="93" spans="1:8" s="90" customFormat="1" ht="12.75">
      <c r="A93" s="92"/>
      <c r="B93" s="92"/>
      <c r="C93" s="18"/>
      <c r="D93" s="19"/>
      <c r="E93" s="19"/>
      <c r="F93" s="19"/>
      <c r="G93" s="93"/>
    </row>
    <row r="94" spans="1:8" s="95" customFormat="1" ht="12.75">
      <c r="A94" s="9" t="s">
        <v>15</v>
      </c>
      <c r="B94" s="9"/>
    </row>
    <row r="95" spans="1:8" s="95" customFormat="1" ht="12.75">
      <c r="A95" s="95" t="s">
        <v>566</v>
      </c>
    </row>
    <row r="96" spans="1:8">
      <c r="A96" s="20"/>
      <c r="B96" s="20"/>
      <c r="C96" s="20"/>
    </row>
  </sheetData>
  <printOptions horizontalCentered="1"/>
  <pageMargins left="0.2" right="0.2" top="0.5" bottom="0.5" header="0.3" footer="0.3"/>
  <pageSetup paperSize="9" scale="75" orientation="portrait" r:id="rId1"/>
  <rowBreaks count="1" manualBreakCount="1">
    <brk id="57" max="16383" man="1"/>
  </rowBreaks>
  <drawing r:id="rId2"/>
</worksheet>
</file>

<file path=xl/worksheets/sheet5.xml><?xml version="1.0" encoding="utf-8"?>
<worksheet xmlns="http://schemas.openxmlformats.org/spreadsheetml/2006/main" xmlns:r="http://schemas.openxmlformats.org/officeDocument/2006/relationships">
  <sheetPr>
    <tabColor rgb="FF00B050"/>
  </sheetPr>
  <dimension ref="A1:AI104"/>
  <sheetViews>
    <sheetView view="pageBreakPreview" zoomScaleNormal="100" zoomScaleSheetLayoutView="100" workbookViewId="0">
      <selection activeCell="A6" sqref="A6"/>
    </sheetView>
  </sheetViews>
  <sheetFormatPr defaultRowHeight="15"/>
  <cols>
    <col min="1" max="1" width="5.42578125" style="44" customWidth="1"/>
    <col min="2" max="2" width="39.5703125" style="44" customWidth="1"/>
    <col min="3" max="3" width="16.7109375" style="44" customWidth="1"/>
    <col min="4" max="4" width="17.7109375" style="44" customWidth="1"/>
    <col min="5" max="5" width="16.7109375" style="44" customWidth="1"/>
    <col min="6" max="6" width="16.140625" style="44" customWidth="1"/>
    <col min="7" max="7" width="13" style="44" customWidth="1"/>
    <col min="8" max="8" width="12.7109375" style="44" customWidth="1"/>
    <col min="9" max="9" width="14.28515625" style="44" customWidth="1"/>
    <col min="10" max="16384" width="9.140625" style="44"/>
  </cols>
  <sheetData>
    <row r="1" spans="1:35" s="43" customFormat="1" ht="21">
      <c r="A1" s="1" t="s">
        <v>0</v>
      </c>
      <c r="B1"/>
      <c r="C1" s="23"/>
      <c r="D1" s="23"/>
      <c r="F1" s="23"/>
      <c r="G1" s="2"/>
      <c r="H1" s="2" t="s">
        <v>547</v>
      </c>
      <c r="I1" s="23"/>
      <c r="J1" s="23"/>
      <c r="K1" s="23"/>
      <c r="L1" s="23"/>
      <c r="M1" s="23"/>
      <c r="N1" s="23"/>
      <c r="O1" s="23"/>
      <c r="P1" s="23"/>
      <c r="Q1" s="23"/>
      <c r="R1" s="23"/>
      <c r="S1" s="23"/>
      <c r="T1" s="23"/>
      <c r="U1" s="23"/>
      <c r="V1" s="23"/>
      <c r="W1" s="23"/>
      <c r="X1" s="23"/>
      <c r="Y1" s="23"/>
      <c r="Z1" s="23"/>
      <c r="AA1" s="23"/>
      <c r="AB1" s="23"/>
      <c r="AC1" s="23"/>
      <c r="AD1" s="23"/>
      <c r="AE1" s="23"/>
    </row>
    <row r="2" spans="1:35" customFormat="1">
      <c r="E2" s="44"/>
    </row>
    <row r="3" spans="1:35" customFormat="1" ht="15.75">
      <c r="A3" s="4" t="s">
        <v>20</v>
      </c>
      <c r="C3" s="44"/>
      <c r="D3" s="8"/>
      <c r="E3" s="44"/>
      <c r="F3" s="85"/>
      <c r="G3" s="86" t="s">
        <v>2</v>
      </c>
      <c r="H3" s="86" t="s">
        <v>3</v>
      </c>
    </row>
    <row r="4" spans="1:35" customFormat="1" ht="15.75">
      <c r="A4" s="4" t="s">
        <v>21</v>
      </c>
      <c r="C4" s="44"/>
      <c r="D4" s="8"/>
      <c r="E4" s="44"/>
      <c r="F4" s="85" t="s">
        <v>5</v>
      </c>
      <c r="G4" s="85"/>
      <c r="H4" s="85"/>
    </row>
    <row r="5" spans="1:35" customFormat="1">
      <c r="A5" s="7"/>
      <c r="C5" s="44"/>
      <c r="D5" s="8"/>
      <c r="E5" s="44"/>
      <c r="F5" s="85" t="s">
        <v>6</v>
      </c>
      <c r="G5" s="85"/>
      <c r="H5" s="85"/>
    </row>
    <row r="6" spans="1:35" customFormat="1">
      <c r="A6" s="23"/>
      <c r="B6" s="23"/>
      <c r="C6" s="23"/>
      <c r="D6" s="23"/>
      <c r="E6" s="23"/>
      <c r="F6" s="23"/>
      <c r="G6" s="23"/>
      <c r="H6" s="23"/>
      <c r="I6" s="23"/>
    </row>
    <row r="7" spans="1:35" s="39" customFormat="1" ht="15.75">
      <c r="A7" s="4" t="s">
        <v>574</v>
      </c>
      <c r="B7" s="23"/>
      <c r="C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row>
    <row r="8" spans="1:35" s="23" customFormat="1" ht="12.75"/>
    <row r="9" spans="1:35" s="23" customFormat="1" ht="12.75"/>
    <row r="10" spans="1:35" s="23" customFormat="1" ht="12.75"/>
    <row r="11" spans="1:35" s="23" customFormat="1" ht="12.75"/>
    <row r="12" spans="1:35" s="23" customFormat="1" ht="12.75"/>
    <row r="13" spans="1:35" s="23" customFormat="1" ht="12.75"/>
    <row r="14" spans="1:35" s="23" customFormat="1" ht="12.75"/>
    <row r="15" spans="1:35" s="23" customFormat="1" ht="12.75"/>
    <row r="16" spans="1:35" s="23" customFormat="1" ht="12.75"/>
    <row r="17" spans="1:35" s="23" customFormat="1" ht="12.75"/>
    <row r="18" spans="1:35" s="23" customFormat="1" ht="12.75"/>
    <row r="19" spans="1:35" s="23" customFormat="1" ht="12.75"/>
    <row r="20" spans="1:35" s="23" customFormat="1" ht="12.75"/>
    <row r="21" spans="1:35" s="23" customFormat="1" ht="12.75"/>
    <row r="22" spans="1:35" s="23" customFormat="1">
      <c r="A22" s="9" t="s">
        <v>91</v>
      </c>
      <c r="G22" s="2" t="s">
        <v>359</v>
      </c>
      <c r="H22" s="561" t="s">
        <v>353</v>
      </c>
    </row>
    <row r="23" spans="1:35" s="23" customFormat="1" ht="12.75">
      <c r="G23" s="189"/>
    </row>
    <row r="24" spans="1:35" s="23" customFormat="1" ht="12.75">
      <c r="A24" s="116">
        <v>1.1000000000000001</v>
      </c>
      <c r="B24" s="162" t="s">
        <v>253</v>
      </c>
      <c r="G24" s="123" t="s">
        <v>24</v>
      </c>
      <c r="H24" s="123" t="s">
        <v>24</v>
      </c>
    </row>
    <row r="25" spans="1:35" s="23" customFormat="1" ht="12.75">
      <c r="B25" s="162" t="s">
        <v>492</v>
      </c>
      <c r="G25" s="2"/>
    </row>
    <row r="26" spans="1:35" s="23" customFormat="1" ht="12.75">
      <c r="B26" s="562" t="s">
        <v>415</v>
      </c>
      <c r="G26" s="2"/>
    </row>
    <row r="27" spans="1:35" s="23" customFormat="1" ht="12.75">
      <c r="B27" s="243"/>
      <c r="G27" s="2"/>
    </row>
    <row r="28" spans="1:35" customFormat="1">
      <c r="A28" s="116">
        <v>1.2</v>
      </c>
      <c r="B28" s="162" t="s">
        <v>498</v>
      </c>
      <c r="E28" s="23"/>
      <c r="F28" s="2"/>
      <c r="G28" s="123" t="s">
        <v>24</v>
      </c>
      <c r="H28" s="123" t="s">
        <v>24</v>
      </c>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row>
    <row r="29" spans="1:35" customFormat="1">
      <c r="A29" s="116"/>
      <c r="B29" s="162" t="s">
        <v>319</v>
      </c>
      <c r="E29" s="23"/>
      <c r="F29" s="2"/>
      <c r="G29" s="35"/>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row>
    <row r="30" spans="1:35" customFormat="1">
      <c r="A30" s="12"/>
      <c r="B30" s="162" t="s">
        <v>111</v>
      </c>
      <c r="C30" s="23"/>
      <c r="D30" s="23"/>
      <c r="E30" s="23"/>
      <c r="F30" s="35"/>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row>
    <row r="31" spans="1:35" customFormat="1">
      <c r="A31" s="12"/>
      <c r="B31" s="21"/>
      <c r="C31" s="23"/>
      <c r="D31" s="23"/>
      <c r="E31" s="23"/>
      <c r="F31" s="35"/>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row>
    <row r="32" spans="1:35" customFormat="1">
      <c r="A32" s="583">
        <v>1.3</v>
      </c>
      <c r="B32" s="583" t="s">
        <v>517</v>
      </c>
      <c r="C32" s="584"/>
      <c r="D32" s="584"/>
      <c r="E32" s="584"/>
      <c r="F32" s="585"/>
      <c r="G32" s="123" t="s">
        <v>24</v>
      </c>
      <c r="H32" s="123" t="s">
        <v>24</v>
      </c>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row>
    <row r="33" spans="1:35" customFormat="1">
      <c r="A33" s="583"/>
      <c r="B33" s="583"/>
      <c r="C33" s="584"/>
      <c r="D33" s="584"/>
      <c r="E33" s="584"/>
      <c r="F33" s="585"/>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row>
    <row r="34" spans="1:35" customFormat="1">
      <c r="A34" s="583">
        <v>1.4</v>
      </c>
      <c r="B34" s="583" t="s">
        <v>515</v>
      </c>
      <c r="C34" s="584"/>
      <c r="D34" s="584"/>
      <c r="E34" s="584"/>
      <c r="F34" s="585"/>
      <c r="G34" s="123" t="s">
        <v>24</v>
      </c>
      <c r="H34" s="123" t="s">
        <v>24</v>
      </c>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row>
    <row r="35" spans="1:35" customFormat="1">
      <c r="A35" s="162"/>
      <c r="B35" s="583" t="s">
        <v>518</v>
      </c>
      <c r="C35" s="23"/>
      <c r="D35" s="23"/>
      <c r="E35" s="23"/>
      <c r="F35" s="35"/>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row>
    <row r="36" spans="1:35" customFormat="1">
      <c r="A36" s="12"/>
      <c r="B36" s="21"/>
      <c r="C36" s="23"/>
      <c r="D36" s="23"/>
      <c r="E36" s="23"/>
      <c r="F36" s="35"/>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row>
    <row r="37" spans="1:35" s="21" customFormat="1" ht="12.75">
      <c r="A37" s="9" t="s">
        <v>8</v>
      </c>
      <c r="B37" s="23"/>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row>
    <row r="38" spans="1:35" s="39" customFormat="1" ht="12.75">
      <c r="A38" s="23"/>
      <c r="B38" s="23"/>
      <c r="C38" s="23"/>
      <c r="D38" s="23"/>
      <c r="E38" s="23"/>
      <c r="F38" s="65" t="s">
        <v>65</v>
      </c>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row>
    <row r="39" spans="1:35" s="39" customFormat="1" ht="12.75">
      <c r="A39" s="47" t="s">
        <v>9</v>
      </c>
      <c r="B39" s="47" t="s">
        <v>18</v>
      </c>
      <c r="C39" s="641" t="s">
        <v>112</v>
      </c>
      <c r="D39" s="642"/>
      <c r="E39" s="180" t="s">
        <v>113</v>
      </c>
      <c r="F39" s="47" t="s">
        <v>13</v>
      </c>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row>
    <row r="40" spans="1:35" s="21" customFormat="1" ht="12.75">
      <c r="A40" s="47"/>
      <c r="B40" s="47"/>
      <c r="C40" s="28" t="s">
        <v>320</v>
      </c>
      <c r="D40" s="66" t="s">
        <v>67</v>
      </c>
      <c r="E40" s="180" t="s">
        <v>114</v>
      </c>
      <c r="F40" s="181"/>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row>
    <row r="41" spans="1:35" s="21" customFormat="1">
      <c r="A41" s="67">
        <v>1</v>
      </c>
      <c r="B41" s="68"/>
      <c r="C41" s="69">
        <v>0</v>
      </c>
      <c r="D41" s="70">
        <v>0</v>
      </c>
      <c r="E41" s="211" t="s">
        <v>115</v>
      </c>
      <c r="F41" s="71"/>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row>
    <row r="42" spans="1:35" s="21" customFormat="1">
      <c r="A42" s="67">
        <v>2</v>
      </c>
      <c r="B42" s="68"/>
      <c r="C42" s="69">
        <v>0</v>
      </c>
      <c r="D42" s="70">
        <v>0</v>
      </c>
      <c r="E42" s="71">
        <f t="shared" ref="E42:E50" si="0">IF(D42&gt;C42,D42-C42,0)</f>
        <v>0</v>
      </c>
      <c r="F42" s="71"/>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row>
    <row r="43" spans="1:35" s="21" customFormat="1">
      <c r="A43" s="67">
        <v>3</v>
      </c>
      <c r="B43" s="68"/>
      <c r="C43" s="69">
        <v>0</v>
      </c>
      <c r="D43" s="70">
        <v>0</v>
      </c>
      <c r="E43" s="71">
        <f t="shared" si="0"/>
        <v>0</v>
      </c>
      <c r="F43" s="71"/>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row>
    <row r="44" spans="1:35" s="21" customFormat="1">
      <c r="A44" s="67">
        <v>4</v>
      </c>
      <c r="B44" s="68"/>
      <c r="C44" s="69">
        <v>0</v>
      </c>
      <c r="D44" s="70">
        <v>0</v>
      </c>
      <c r="E44" s="71">
        <f t="shared" si="0"/>
        <v>0</v>
      </c>
      <c r="F44" s="71"/>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row>
    <row r="45" spans="1:35" s="21" customFormat="1">
      <c r="A45" s="67">
        <v>5</v>
      </c>
      <c r="B45" s="68"/>
      <c r="C45" s="69">
        <v>0</v>
      </c>
      <c r="D45" s="70">
        <v>0</v>
      </c>
      <c r="E45" s="71">
        <f t="shared" si="0"/>
        <v>0</v>
      </c>
      <c r="F45" s="71"/>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row>
    <row r="46" spans="1:35" s="21" customFormat="1">
      <c r="A46" s="72">
        <v>6</v>
      </c>
      <c r="B46" s="68"/>
      <c r="C46" s="69">
        <v>0</v>
      </c>
      <c r="D46" s="70">
        <v>0</v>
      </c>
      <c r="E46" s="71">
        <f t="shared" si="0"/>
        <v>0</v>
      </c>
      <c r="F46" s="71"/>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row>
    <row r="47" spans="1:35" s="21" customFormat="1">
      <c r="A47" s="72">
        <v>7</v>
      </c>
      <c r="B47" s="68"/>
      <c r="C47" s="69">
        <v>0</v>
      </c>
      <c r="D47" s="70">
        <v>0</v>
      </c>
      <c r="E47" s="71">
        <f t="shared" si="0"/>
        <v>0</v>
      </c>
      <c r="F47" s="71"/>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row>
    <row r="48" spans="1:35" s="21" customFormat="1">
      <c r="A48" s="72">
        <v>8</v>
      </c>
      <c r="B48" s="68"/>
      <c r="C48" s="69">
        <v>0</v>
      </c>
      <c r="D48" s="70">
        <v>0</v>
      </c>
      <c r="E48" s="71">
        <f t="shared" si="0"/>
        <v>0</v>
      </c>
      <c r="F48" s="71"/>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row>
    <row r="49" spans="1:35" s="21" customFormat="1">
      <c r="A49" s="72">
        <v>9</v>
      </c>
      <c r="B49" s="68"/>
      <c r="C49" s="69">
        <v>0</v>
      </c>
      <c r="D49" s="70">
        <v>0</v>
      </c>
      <c r="E49" s="71">
        <f t="shared" si="0"/>
        <v>0</v>
      </c>
      <c r="F49" s="71"/>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row>
    <row r="50" spans="1:35" s="21" customFormat="1">
      <c r="A50" s="72">
        <v>10</v>
      </c>
      <c r="B50" s="68"/>
      <c r="C50" s="69">
        <v>0</v>
      </c>
      <c r="D50" s="70">
        <v>0</v>
      </c>
      <c r="E50" s="71">
        <f t="shared" si="0"/>
        <v>0</v>
      </c>
      <c r="F50" s="71"/>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row>
    <row r="51" spans="1:35" s="21" customFormat="1" ht="12.75">
      <c r="A51" s="47"/>
      <c r="B51" s="47" t="s">
        <v>14</v>
      </c>
      <c r="C51" s="224">
        <f>SUM(C41:C50)</f>
        <v>0</v>
      </c>
      <c r="D51" s="224">
        <f>SUM(D41:D50)</f>
        <v>0</v>
      </c>
      <c r="E51" s="224">
        <f>SUM(E41:E50)</f>
        <v>0</v>
      </c>
      <c r="F51" s="224"/>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row>
    <row r="52" spans="1:35" s="21" customFormat="1" ht="12.75">
      <c r="A52" s="73"/>
      <c r="B52" s="73"/>
      <c r="C52" s="74"/>
      <c r="D52" s="74"/>
      <c r="E52" s="74"/>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row>
    <row r="53" spans="1:35" s="21" customFormat="1" ht="12.75">
      <c r="A53" s="9" t="s">
        <v>15</v>
      </c>
      <c r="B53" s="73"/>
      <c r="C53" s="74"/>
      <c r="D53" s="74"/>
      <c r="E53" s="74"/>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row>
    <row r="54" spans="1:35" s="21" customFormat="1" ht="12.75">
      <c r="A54" s="182" t="s">
        <v>609</v>
      </c>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row>
    <row r="55" spans="1:35" s="21" customFormat="1" ht="12.75"/>
    <row r="56" spans="1:35" s="54" customFormat="1">
      <c r="A56" s="21"/>
      <c r="B56" s="21"/>
      <c r="C56" s="21"/>
      <c r="D56" s="21"/>
      <c r="E56" s="21"/>
      <c r="F56" s="21"/>
      <c r="G56" s="21"/>
      <c r="H56" s="21"/>
      <c r="I56" s="21"/>
    </row>
    <row r="57" spans="1:35" s="54" customFormat="1"/>
    <row r="58" spans="1:35" s="54" customFormat="1"/>
    <row r="59" spans="1:35" s="54" customFormat="1"/>
    <row r="60" spans="1:35" s="54" customFormat="1"/>
    <row r="61" spans="1:35" s="54" customFormat="1"/>
    <row r="62" spans="1:35" s="54" customFormat="1"/>
    <row r="63" spans="1:35" s="54" customFormat="1"/>
    <row r="64" spans="1:35" s="54" customFormat="1"/>
    <row r="65" s="54" customFormat="1"/>
    <row r="66" s="54" customFormat="1"/>
    <row r="67" s="54" customFormat="1"/>
    <row r="68" s="54" customFormat="1"/>
    <row r="69" s="54" customFormat="1"/>
    <row r="70" s="54" customFormat="1"/>
    <row r="71" s="54" customFormat="1"/>
    <row r="72" s="54" customFormat="1"/>
    <row r="73" s="54" customFormat="1"/>
    <row r="74" s="54" customFormat="1"/>
    <row r="75" s="54" customFormat="1"/>
    <row r="76" s="54" customFormat="1"/>
    <row r="77" s="54" customFormat="1"/>
    <row r="78" s="54" customFormat="1"/>
    <row r="79" s="54" customFormat="1"/>
    <row r="80" s="54" customFormat="1"/>
    <row r="81" s="54" customFormat="1"/>
    <row r="82" s="54" customFormat="1"/>
    <row r="83" s="54" customFormat="1"/>
    <row r="84" s="54" customFormat="1"/>
    <row r="85" s="54" customFormat="1"/>
    <row r="86" s="54" customFormat="1"/>
    <row r="87" s="54" customFormat="1"/>
    <row r="88" s="54" customFormat="1"/>
    <row r="89" s="54" customFormat="1"/>
    <row r="90" s="54" customFormat="1"/>
    <row r="91" s="54" customFormat="1"/>
    <row r="92" s="54" customFormat="1"/>
    <row r="93" s="54" customFormat="1"/>
    <row r="94" s="54" customFormat="1"/>
    <row r="95" s="54" customFormat="1"/>
    <row r="96" s="54" customFormat="1"/>
    <row r="97" s="54" customFormat="1"/>
    <row r="98" s="54" customFormat="1"/>
    <row r="99" s="54" customFormat="1"/>
    <row r="100" s="54" customFormat="1"/>
    <row r="101" s="54" customFormat="1"/>
    <row r="102" s="54" customFormat="1"/>
    <row r="103" s="54" customFormat="1"/>
    <row r="104" s="54" customFormat="1"/>
  </sheetData>
  <mergeCells count="1">
    <mergeCell ref="C39:D39"/>
  </mergeCells>
  <pageMargins left="0.7" right="0.7" top="0.75" bottom="0.75" header="0.3" footer="0.3"/>
  <pageSetup scale="65" orientation="portrait" r:id="rId1"/>
  <drawing r:id="rId2"/>
</worksheet>
</file>

<file path=xl/worksheets/sheet6.xml><?xml version="1.0" encoding="utf-8"?>
<worksheet xmlns="http://schemas.openxmlformats.org/spreadsheetml/2006/main" xmlns:r="http://schemas.openxmlformats.org/officeDocument/2006/relationships">
  <dimension ref="A1:I67"/>
  <sheetViews>
    <sheetView view="pageBreakPreview" zoomScaleNormal="100" zoomScaleSheetLayoutView="100" workbookViewId="0">
      <selection activeCell="D1" sqref="D1"/>
    </sheetView>
  </sheetViews>
  <sheetFormatPr defaultRowHeight="15"/>
  <cols>
    <col min="1" max="2" width="3.7109375" customWidth="1"/>
    <col min="3" max="3" width="44.5703125" customWidth="1"/>
    <col min="4" max="4" width="18.85546875" customWidth="1"/>
    <col min="5" max="5" width="12.28515625" customWidth="1"/>
    <col min="6" max="6" width="14.5703125" customWidth="1"/>
    <col min="7" max="7" width="12.140625" bestFit="1" customWidth="1"/>
    <col min="8" max="8" width="10.85546875" customWidth="1"/>
    <col min="9" max="9" width="11.42578125" customWidth="1"/>
  </cols>
  <sheetData>
    <row r="1" spans="1:8" ht="21">
      <c r="A1" s="1" t="s">
        <v>0</v>
      </c>
      <c r="B1" s="1"/>
      <c r="H1" s="2" t="s">
        <v>548</v>
      </c>
    </row>
    <row r="3" spans="1:8">
      <c r="A3" s="287" t="s">
        <v>1</v>
      </c>
      <c r="B3" s="287"/>
      <c r="F3" s="85"/>
      <c r="G3" s="86" t="s">
        <v>2</v>
      </c>
      <c r="H3" s="86" t="s">
        <v>3</v>
      </c>
    </row>
    <row r="4" spans="1:8">
      <c r="A4" s="287" t="s">
        <v>4</v>
      </c>
      <c r="B4" s="287"/>
      <c r="F4" s="85" t="s">
        <v>5</v>
      </c>
      <c r="G4" s="85"/>
      <c r="H4" s="85"/>
    </row>
    <row r="5" spans="1:8">
      <c r="A5" s="287"/>
      <c r="B5" s="287"/>
      <c r="F5" s="85" t="s">
        <v>6</v>
      </c>
      <c r="G5" s="85"/>
      <c r="H5" s="85"/>
    </row>
    <row r="6" spans="1:8">
      <c r="A6" s="287"/>
      <c r="B6" s="287"/>
      <c r="E6" s="8"/>
      <c r="F6" s="8"/>
      <c r="G6" s="8"/>
    </row>
    <row r="7" spans="1:8">
      <c r="A7" s="287" t="s">
        <v>572</v>
      </c>
      <c r="B7" s="287"/>
    </row>
    <row r="8" spans="1:8" ht="15.75">
      <c r="A8" s="4"/>
      <c r="B8" s="4"/>
    </row>
    <row r="9" spans="1:8" ht="15.75">
      <c r="A9" s="4"/>
      <c r="B9" s="4"/>
    </row>
    <row r="10" spans="1:8" ht="15.75">
      <c r="A10" s="4"/>
      <c r="B10" s="4"/>
    </row>
    <row r="11" spans="1:8" ht="15.75">
      <c r="A11" s="4"/>
      <c r="B11" s="4"/>
    </row>
    <row r="12" spans="1:8" ht="15.75">
      <c r="A12" s="4"/>
      <c r="B12" s="4"/>
    </row>
    <row r="13" spans="1:8" ht="15.75">
      <c r="A13" s="4"/>
      <c r="B13" s="4"/>
    </row>
    <row r="14" spans="1:8" ht="15.75">
      <c r="A14" s="4"/>
      <c r="B14" s="4"/>
    </row>
    <row r="15" spans="1:8" ht="15.75">
      <c r="A15" s="4"/>
      <c r="B15" s="4"/>
    </row>
    <row r="16" spans="1:8" ht="15.75">
      <c r="A16" s="4"/>
      <c r="B16" s="4"/>
    </row>
    <row r="17" spans="1:8" ht="15.75">
      <c r="A17" s="4"/>
      <c r="B17" s="4"/>
    </row>
    <row r="18" spans="1:8" ht="15.75">
      <c r="A18" s="4"/>
      <c r="B18" s="4"/>
    </row>
    <row r="19" spans="1:8" ht="15.75">
      <c r="A19" s="4"/>
      <c r="B19" s="4"/>
    </row>
    <row r="20" spans="1:8" ht="15.75">
      <c r="A20" s="4"/>
      <c r="B20" s="4"/>
    </row>
    <row r="21" spans="1:8" ht="15.75">
      <c r="A21" s="4"/>
      <c r="B21" s="4"/>
    </row>
    <row r="22" spans="1:8" ht="15.75">
      <c r="A22" s="4"/>
      <c r="B22" s="4"/>
    </row>
    <row r="23" spans="1:8" ht="15.75">
      <c r="A23" s="4"/>
      <c r="B23" s="4"/>
    </row>
    <row r="24" spans="1:8" ht="15.75">
      <c r="A24" s="4"/>
      <c r="B24" s="4"/>
    </row>
    <row r="25" spans="1:8">
      <c r="C25" t="s">
        <v>534</v>
      </c>
    </row>
    <row r="26" spans="1:8">
      <c r="A26" s="9" t="s">
        <v>92</v>
      </c>
      <c r="B26" s="9"/>
      <c r="G26" s="2" t="s">
        <v>359</v>
      </c>
      <c r="H26" s="561" t="s">
        <v>353</v>
      </c>
    </row>
    <row r="27" spans="1:8">
      <c r="A27" s="9"/>
      <c r="B27" s="9"/>
    </row>
    <row r="28" spans="1:8" s="33" customFormat="1">
      <c r="A28" s="458">
        <v>1.1000000000000001</v>
      </c>
      <c r="B28" s="243" t="s">
        <v>567</v>
      </c>
      <c r="D28" s="455"/>
      <c r="E28" s="455"/>
      <c r="F28" s="455"/>
      <c r="G28" s="190" t="s">
        <v>24</v>
      </c>
      <c r="H28" s="190" t="s">
        <v>24</v>
      </c>
    </row>
    <row r="29" spans="1:8" s="457" customFormat="1">
      <c r="A29" s="456"/>
      <c r="B29" s="243" t="s">
        <v>568</v>
      </c>
      <c r="D29" s="246"/>
      <c r="E29" s="246"/>
      <c r="F29" s="246"/>
      <c r="G29" s="246"/>
      <c r="H29" s="246"/>
    </row>
    <row r="30" spans="1:8" s="457" customFormat="1">
      <c r="A30" s="456"/>
      <c r="B30" s="243" t="s">
        <v>570</v>
      </c>
      <c r="D30" s="246"/>
      <c r="E30" s="246"/>
      <c r="F30" s="246"/>
      <c r="G30" s="246"/>
      <c r="H30" s="246"/>
    </row>
    <row r="31" spans="1:8" s="457" customFormat="1">
      <c r="A31" s="456"/>
      <c r="B31" s="243" t="s">
        <v>569</v>
      </c>
      <c r="D31" s="246"/>
      <c r="E31" s="246"/>
      <c r="F31" s="246"/>
      <c r="G31" s="246"/>
      <c r="H31" s="246"/>
    </row>
    <row r="32" spans="1:8" s="457" customFormat="1">
      <c r="A32" s="456"/>
      <c r="B32" s="562" t="s">
        <v>415</v>
      </c>
      <c r="D32" s="246"/>
      <c r="E32" s="246"/>
      <c r="F32" s="246"/>
      <c r="G32" s="246"/>
      <c r="H32" s="246"/>
    </row>
    <row r="33" spans="1:9" s="97" customFormat="1">
      <c r="A33" s="96"/>
      <c r="B33" s="243"/>
      <c r="D33" s="245"/>
      <c r="E33" s="245"/>
      <c r="F33" s="245"/>
      <c r="G33" s="245"/>
      <c r="H33" s="245"/>
    </row>
    <row r="34" spans="1:9" s="33" customFormat="1">
      <c r="A34" s="458">
        <v>1.2</v>
      </c>
      <c r="B34" s="243" t="s">
        <v>397</v>
      </c>
      <c r="D34" s="455"/>
      <c r="E34" s="455"/>
      <c r="F34" s="455"/>
      <c r="G34" s="190" t="s">
        <v>24</v>
      </c>
      <c r="H34" s="190" t="s">
        <v>24</v>
      </c>
    </row>
    <row r="35" spans="1:9" s="33" customFormat="1">
      <c r="A35" s="458"/>
      <c r="B35" s="243" t="s">
        <v>398</v>
      </c>
      <c r="D35" s="455"/>
      <c r="E35" s="455"/>
      <c r="F35" s="455"/>
      <c r="G35" s="190"/>
      <c r="H35" s="190"/>
    </row>
    <row r="36" spans="1:9" s="33" customFormat="1">
      <c r="A36" s="458"/>
      <c r="B36" s="243" t="s">
        <v>399</v>
      </c>
      <c r="D36" s="455"/>
      <c r="E36" s="455"/>
      <c r="F36" s="455"/>
      <c r="G36" s="190"/>
      <c r="H36" s="190"/>
    </row>
    <row r="37" spans="1:9" s="33" customFormat="1">
      <c r="A37" s="458"/>
      <c r="B37" s="562" t="s">
        <v>415</v>
      </c>
      <c r="D37" s="455"/>
      <c r="E37" s="455"/>
      <c r="F37" s="455"/>
      <c r="G37" s="190"/>
      <c r="H37" s="190"/>
    </row>
    <row r="38" spans="1:9">
      <c r="A38" s="244"/>
      <c r="B38" s="246"/>
      <c r="D38" s="242"/>
      <c r="E38" s="242"/>
      <c r="F38" s="242"/>
      <c r="G38" s="123"/>
      <c r="H38" s="123"/>
    </row>
    <row r="39" spans="1:9">
      <c r="A39" s="244">
        <v>1.3</v>
      </c>
      <c r="B39" s="247" t="s">
        <v>400</v>
      </c>
      <c r="D39" s="242"/>
      <c r="E39" s="242"/>
      <c r="F39" s="242"/>
      <c r="G39" s="123" t="s">
        <v>24</v>
      </c>
      <c r="H39" s="123" t="s">
        <v>24</v>
      </c>
    </row>
    <row r="40" spans="1:9">
      <c r="A40" s="244"/>
      <c r="B40" s="243" t="s">
        <v>401</v>
      </c>
      <c r="D40" s="242"/>
      <c r="E40" s="242"/>
      <c r="F40" s="242"/>
      <c r="G40" s="242"/>
      <c r="H40" s="123"/>
    </row>
    <row r="41" spans="1:9">
      <c r="A41" s="244"/>
      <c r="B41" s="243" t="s">
        <v>402</v>
      </c>
      <c r="D41" s="242"/>
      <c r="E41" s="242"/>
      <c r="F41" s="242"/>
      <c r="G41" s="242"/>
      <c r="H41" s="35"/>
    </row>
    <row r="42" spans="1:9">
      <c r="A42" s="244"/>
      <c r="B42" s="562" t="s">
        <v>415</v>
      </c>
      <c r="D42" s="242"/>
      <c r="E42" s="242"/>
      <c r="F42" s="242"/>
      <c r="G42" s="242"/>
      <c r="H42" s="242"/>
      <c r="I42" s="35"/>
    </row>
    <row r="43" spans="1:9">
      <c r="A43" s="244"/>
      <c r="B43" s="244"/>
      <c r="C43" s="243"/>
      <c r="D43" s="242"/>
      <c r="E43" s="242"/>
      <c r="F43" s="242"/>
      <c r="G43" s="242"/>
      <c r="H43" s="242"/>
      <c r="I43" s="35"/>
    </row>
    <row r="44" spans="1:9" s="598" customFormat="1">
      <c r="A44" s="591">
        <v>1.4</v>
      </c>
      <c r="B44" s="597" t="s">
        <v>535</v>
      </c>
      <c r="D44" s="599"/>
      <c r="E44" s="599"/>
      <c r="F44" s="599"/>
      <c r="G44" s="600" t="s">
        <v>24</v>
      </c>
      <c r="H44" s="600" t="s">
        <v>24</v>
      </c>
    </row>
    <row r="45" spans="1:9" s="598" customFormat="1">
      <c r="A45" s="591"/>
      <c r="B45" s="597" t="s">
        <v>536</v>
      </c>
      <c r="D45" s="599"/>
      <c r="E45" s="599"/>
      <c r="F45" s="599"/>
      <c r="G45" s="600"/>
      <c r="H45" s="600"/>
    </row>
    <row r="46" spans="1:9" s="598" customFormat="1">
      <c r="A46" s="591"/>
      <c r="B46" s="597" t="s">
        <v>537</v>
      </c>
      <c r="D46" s="599"/>
      <c r="E46" s="599"/>
      <c r="F46" s="599"/>
      <c r="G46" s="600"/>
      <c r="H46" s="600"/>
    </row>
    <row r="47" spans="1:9" s="598" customFormat="1">
      <c r="A47" s="591"/>
      <c r="B47" s="597" t="s">
        <v>571</v>
      </c>
      <c r="D47" s="599"/>
      <c r="E47" s="599"/>
      <c r="F47" s="599"/>
      <c r="G47" s="600"/>
      <c r="H47" s="600"/>
    </row>
    <row r="48" spans="1:9">
      <c r="A48" s="244"/>
      <c r="B48" s="601" t="s">
        <v>415</v>
      </c>
      <c r="D48" s="242"/>
      <c r="E48" s="242"/>
      <c r="F48" s="242"/>
      <c r="G48" s="242"/>
      <c r="H48" s="242"/>
      <c r="I48" s="35"/>
    </row>
    <row r="49" spans="1:9">
      <c r="A49" s="244"/>
      <c r="B49" s="601"/>
      <c r="D49" s="242"/>
      <c r="E49" s="242"/>
      <c r="F49" s="242"/>
      <c r="G49" s="242"/>
      <c r="H49" s="242"/>
      <c r="I49" s="35"/>
    </row>
    <row r="50" spans="1:9" s="598" customFormat="1" ht="33" customHeight="1">
      <c r="A50" s="608">
        <v>1.5</v>
      </c>
      <c r="B50" s="643" t="s">
        <v>538</v>
      </c>
      <c r="C50" s="643"/>
      <c r="D50" s="643"/>
      <c r="E50" s="643"/>
      <c r="F50" s="643"/>
      <c r="G50" s="600" t="s">
        <v>24</v>
      </c>
      <c r="H50" s="600" t="s">
        <v>24</v>
      </c>
    </row>
    <row r="51" spans="1:9" ht="33.75" customHeight="1">
      <c r="A51" s="244"/>
      <c r="B51" s="643" t="s">
        <v>546</v>
      </c>
      <c r="C51" s="643"/>
      <c r="D51" s="643"/>
      <c r="E51" s="643"/>
      <c r="F51" s="643"/>
      <c r="G51" s="242"/>
      <c r="H51" s="242"/>
      <c r="I51" s="35"/>
    </row>
    <row r="52" spans="1:9">
      <c r="A52" s="244"/>
      <c r="B52" s="601" t="s">
        <v>415</v>
      </c>
      <c r="D52" s="242"/>
      <c r="E52" s="242"/>
      <c r="F52" s="242"/>
      <c r="G52" s="242"/>
      <c r="H52" s="242"/>
      <c r="I52" s="35"/>
    </row>
    <row r="53" spans="1:9">
      <c r="A53" s="244"/>
      <c r="D53" s="242"/>
      <c r="E53" s="242"/>
      <c r="F53" s="242"/>
      <c r="G53" s="242"/>
      <c r="H53" s="242"/>
      <c r="I53" s="35"/>
    </row>
    <row r="54" spans="1:9">
      <c r="A54" s="244"/>
      <c r="B54" s="244"/>
      <c r="C54" s="243"/>
      <c r="D54" s="242"/>
      <c r="E54" s="242"/>
      <c r="F54" s="242"/>
      <c r="G54" s="242"/>
      <c r="H54" s="242"/>
      <c r="I54" s="35"/>
    </row>
    <row r="55" spans="1:9" s="90" customFormat="1" ht="12.75">
      <c r="A55" s="9" t="s">
        <v>8</v>
      </c>
      <c r="B55" s="9"/>
    </row>
    <row r="56" spans="1:9" s="90" customFormat="1" ht="12.75"/>
    <row r="57" spans="1:9" s="90" customFormat="1" ht="12.75">
      <c r="B57" s="580" t="s">
        <v>9</v>
      </c>
      <c r="C57" s="281" t="s">
        <v>10</v>
      </c>
      <c r="D57" s="281" t="s">
        <v>11</v>
      </c>
      <c r="E57" s="282" t="s">
        <v>25</v>
      </c>
      <c r="F57" s="580" t="s">
        <v>66</v>
      </c>
      <c r="H57" s="248"/>
    </row>
    <row r="58" spans="1:9" s="90" customFormat="1" ht="12.75">
      <c r="B58" s="286"/>
      <c r="C58" s="286"/>
      <c r="D58" s="286"/>
      <c r="E58" s="286"/>
      <c r="F58" s="286"/>
      <c r="H58" s="248"/>
    </row>
    <row r="59" spans="1:9" s="95" customFormat="1" ht="51">
      <c r="B59" s="289">
        <v>1</v>
      </c>
      <c r="C59" s="288" t="s">
        <v>620</v>
      </c>
      <c r="D59" s="290"/>
      <c r="E59" s="291"/>
      <c r="F59" s="291"/>
      <c r="H59" s="249"/>
    </row>
    <row r="60" spans="1:9" s="95" customFormat="1" ht="25.5">
      <c r="B60" s="289">
        <v>2</v>
      </c>
      <c r="C60" s="288" t="s">
        <v>186</v>
      </c>
      <c r="D60" s="290"/>
      <c r="E60" s="291"/>
      <c r="F60" s="291"/>
      <c r="H60" s="249"/>
    </row>
    <row r="61" spans="1:9" s="95" customFormat="1" ht="25.5">
      <c r="B61" s="289">
        <v>3</v>
      </c>
      <c r="C61" s="288" t="s">
        <v>539</v>
      </c>
      <c r="D61" s="290"/>
      <c r="E61" s="291"/>
      <c r="F61" s="291"/>
      <c r="H61" s="249"/>
    </row>
    <row r="62" spans="1:9" s="95" customFormat="1" ht="12.75">
      <c r="B62" s="292">
        <v>4</v>
      </c>
      <c r="C62" s="602" t="s">
        <v>540</v>
      </c>
      <c r="D62" s="451"/>
      <c r="E62" s="274"/>
      <c r="F62" s="274"/>
      <c r="H62" s="249"/>
    </row>
    <row r="63" spans="1:9" s="90" customFormat="1" ht="12.75">
      <c r="B63" s="264"/>
      <c r="C63" s="578" t="s">
        <v>14</v>
      </c>
      <c r="D63" s="265"/>
      <c r="E63" s="266"/>
      <c r="F63" s="266"/>
      <c r="H63" s="250"/>
    </row>
    <row r="64" spans="1:9" s="90" customFormat="1" ht="12.75">
      <c r="A64" s="92"/>
      <c r="B64" s="92"/>
      <c r="C64" s="18"/>
      <c r="D64" s="19"/>
      <c r="E64" s="19"/>
      <c r="F64" s="19"/>
      <c r="G64" s="93"/>
    </row>
    <row r="65" spans="1:3" s="95" customFormat="1" ht="12.75">
      <c r="A65" s="9" t="s">
        <v>15</v>
      </c>
      <c r="B65" s="9"/>
    </row>
    <row r="66" spans="1:3" s="95" customFormat="1" ht="12.75">
      <c r="A66" s="95" t="s">
        <v>566</v>
      </c>
    </row>
    <row r="67" spans="1:3">
      <c r="A67" s="20"/>
      <c r="B67" s="20"/>
      <c r="C67" s="20"/>
    </row>
  </sheetData>
  <mergeCells count="2">
    <mergeCell ref="B50:F50"/>
    <mergeCell ref="B51:F51"/>
  </mergeCells>
  <printOptions horizontalCentered="1"/>
  <pageMargins left="0.2" right="0.2" top="0.5" bottom="0.5" header="0.3" footer="0.3"/>
  <pageSetup paperSize="9" scale="72" orientation="portrait" r:id="rId1"/>
  <drawing r:id="rId2"/>
  <legacyDrawing r:id="rId3"/>
  <oleObjects>
    <oleObject progId="Document" dvAspect="DVASPECT_ICON" shapeId="8193" r:id="rId4"/>
  </oleObjects>
</worksheet>
</file>

<file path=xl/worksheets/sheet7.xml><?xml version="1.0" encoding="utf-8"?>
<worksheet xmlns="http://schemas.openxmlformats.org/spreadsheetml/2006/main" xmlns:r="http://schemas.openxmlformats.org/officeDocument/2006/relationships">
  <dimension ref="A1:I40"/>
  <sheetViews>
    <sheetView view="pageBreakPreview" zoomScaleNormal="100" zoomScaleSheetLayoutView="100" workbookViewId="0">
      <selection activeCell="I23" sqref="I23"/>
    </sheetView>
  </sheetViews>
  <sheetFormatPr defaultRowHeight="15"/>
  <cols>
    <col min="1" max="2" width="3.7109375" customWidth="1"/>
    <col min="3" max="3" width="31.140625" bestFit="1" customWidth="1"/>
    <col min="4" max="4" width="29.28515625" customWidth="1"/>
    <col min="5" max="5" width="12.28515625" customWidth="1"/>
    <col min="6" max="6" width="12" customWidth="1"/>
    <col min="7" max="7" width="12.140625" bestFit="1" customWidth="1"/>
    <col min="8" max="8" width="10.85546875" customWidth="1"/>
    <col min="9" max="9" width="11.42578125" customWidth="1"/>
  </cols>
  <sheetData>
    <row r="1" spans="1:9" ht="21">
      <c r="A1" s="1" t="s">
        <v>0</v>
      </c>
      <c r="B1" s="1"/>
      <c r="I1" s="2" t="s">
        <v>549</v>
      </c>
    </row>
    <row r="3" spans="1:9">
      <c r="A3" s="287" t="s">
        <v>275</v>
      </c>
      <c r="B3" s="287"/>
      <c r="G3" s="85"/>
      <c r="H3" s="86" t="s">
        <v>2</v>
      </c>
      <c r="I3" s="86" t="s">
        <v>3</v>
      </c>
    </row>
    <row r="4" spans="1:9">
      <c r="A4" s="287" t="s">
        <v>4</v>
      </c>
      <c r="B4" s="287"/>
      <c r="G4" s="85" t="s">
        <v>5</v>
      </c>
      <c r="H4" s="85"/>
      <c r="I4" s="85"/>
    </row>
    <row r="5" spans="1:9">
      <c r="A5" s="287"/>
      <c r="B5" s="287"/>
      <c r="G5" s="85" t="s">
        <v>6</v>
      </c>
      <c r="H5" s="85"/>
      <c r="I5" s="85"/>
    </row>
    <row r="6" spans="1:9">
      <c r="A6" s="287"/>
      <c r="B6" s="287"/>
      <c r="E6" s="8"/>
      <c r="F6" s="8"/>
      <c r="G6" s="8"/>
    </row>
    <row r="7" spans="1:9">
      <c r="A7" s="287" t="s">
        <v>573</v>
      </c>
      <c r="B7" s="287"/>
    </row>
    <row r="8" spans="1:9" ht="15.75">
      <c r="A8" s="4"/>
      <c r="B8" s="4"/>
    </row>
    <row r="9" spans="1:9" ht="15.75">
      <c r="A9" s="4"/>
      <c r="B9" s="4"/>
    </row>
    <row r="10" spans="1:9" ht="15.75">
      <c r="A10" s="4"/>
      <c r="B10" s="4"/>
    </row>
    <row r="11" spans="1:9" ht="15.75">
      <c r="A11" s="4"/>
      <c r="B11" s="4"/>
    </row>
    <row r="12" spans="1:9" ht="15.75">
      <c r="A12" s="4"/>
      <c r="B12" s="4"/>
    </row>
    <row r="13" spans="1:9" ht="15.75">
      <c r="A13" s="4"/>
      <c r="B13" s="4"/>
    </row>
    <row r="15" spans="1:9">
      <c r="A15" s="9" t="s">
        <v>92</v>
      </c>
      <c r="B15" s="9"/>
      <c r="C15" s="95"/>
      <c r="D15" s="95"/>
      <c r="E15" s="95"/>
      <c r="F15" s="95"/>
      <c r="G15" s="95"/>
      <c r="H15" s="2" t="s">
        <v>359</v>
      </c>
      <c r="I15" s="561" t="s">
        <v>353</v>
      </c>
    </row>
    <row r="16" spans="1:9">
      <c r="A16" s="9"/>
      <c r="B16" s="9"/>
      <c r="C16" s="95"/>
      <c r="D16" s="95"/>
      <c r="E16" s="95"/>
      <c r="F16" s="95"/>
      <c r="G16" s="95"/>
      <c r="H16" s="165"/>
      <c r="I16" s="165"/>
    </row>
    <row r="17" spans="1:9">
      <c r="A17" s="244">
        <v>1.1000000000000001</v>
      </c>
      <c r="B17" s="162" t="s">
        <v>403</v>
      </c>
      <c r="C17" s="95"/>
      <c r="D17" s="252"/>
      <c r="E17" s="252"/>
      <c r="F17" s="252"/>
      <c r="G17" s="252"/>
      <c r="H17" s="123" t="s">
        <v>24</v>
      </c>
      <c r="I17" s="123" t="s">
        <v>24</v>
      </c>
    </row>
    <row r="18" spans="1:9" s="97" customFormat="1">
      <c r="A18" s="244"/>
      <c r="B18" s="162" t="s">
        <v>404</v>
      </c>
      <c r="C18" s="298"/>
      <c r="D18" s="245"/>
      <c r="E18" s="245"/>
      <c r="F18" s="245"/>
      <c r="G18" s="245"/>
      <c r="H18" s="298"/>
      <c r="I18" s="298"/>
    </row>
    <row r="19" spans="1:9" s="97" customFormat="1">
      <c r="A19" s="244"/>
      <c r="B19" s="562" t="s">
        <v>415</v>
      </c>
      <c r="C19" s="298"/>
      <c r="D19" s="245"/>
      <c r="E19" s="245"/>
      <c r="F19" s="245"/>
      <c r="G19" s="245"/>
      <c r="H19" s="245"/>
      <c r="I19" s="245"/>
    </row>
    <row r="20" spans="1:9" s="97" customFormat="1">
      <c r="A20" s="244"/>
      <c r="B20" s="162"/>
      <c r="C20" s="298"/>
      <c r="D20" s="245"/>
      <c r="E20" s="245"/>
      <c r="F20" s="245"/>
      <c r="G20" s="245"/>
      <c r="H20" s="245"/>
      <c r="I20" s="245"/>
    </row>
    <row r="21" spans="1:9">
      <c r="A21" s="244">
        <v>1.2</v>
      </c>
      <c r="B21" s="162" t="s">
        <v>405</v>
      </c>
      <c r="C21" s="95"/>
      <c r="D21" s="252"/>
      <c r="E21" s="252"/>
      <c r="F21" s="252"/>
      <c r="G21" s="252"/>
      <c r="H21" s="123" t="s">
        <v>24</v>
      </c>
      <c r="I21" s="123" t="s">
        <v>24</v>
      </c>
    </row>
    <row r="22" spans="1:9">
      <c r="A22" s="244"/>
      <c r="B22" s="162" t="s">
        <v>406</v>
      </c>
      <c r="C22" s="95"/>
      <c r="D22" s="252"/>
      <c r="E22" s="252"/>
      <c r="F22" s="252"/>
      <c r="G22" s="252"/>
      <c r="H22" s="95"/>
      <c r="I22" s="95"/>
    </row>
    <row r="23" spans="1:9">
      <c r="A23" s="244"/>
      <c r="B23" s="162"/>
      <c r="C23" s="95"/>
      <c r="D23" s="252"/>
      <c r="E23" s="252"/>
      <c r="F23" s="252"/>
      <c r="G23" s="252"/>
      <c r="H23" s="244"/>
      <c r="I23" s="244"/>
    </row>
    <row r="24" spans="1:9" s="476" customFormat="1">
      <c r="A24" s="244">
        <v>1.3</v>
      </c>
      <c r="B24" s="162" t="s">
        <v>407</v>
      </c>
      <c r="C24" s="162"/>
      <c r="D24" s="252"/>
      <c r="E24" s="252"/>
      <c r="F24" s="252"/>
      <c r="G24" s="252"/>
      <c r="H24" s="123" t="s">
        <v>24</v>
      </c>
      <c r="I24" s="123" t="s">
        <v>24</v>
      </c>
    </row>
    <row r="25" spans="1:9" s="476" customFormat="1">
      <c r="A25" s="244"/>
      <c r="B25" s="162" t="s">
        <v>408</v>
      </c>
      <c r="C25" s="162"/>
      <c r="D25" s="252"/>
      <c r="E25" s="252"/>
      <c r="F25" s="252"/>
      <c r="G25" s="252"/>
      <c r="H25" s="162"/>
      <c r="I25" s="162"/>
    </row>
    <row r="26" spans="1:9" s="476" customFormat="1">
      <c r="A26" s="164"/>
      <c r="B26" s="562" t="s">
        <v>415</v>
      </c>
      <c r="C26" s="162"/>
      <c r="D26" s="252"/>
      <c r="E26" s="252"/>
      <c r="F26" s="252"/>
      <c r="G26" s="252"/>
      <c r="H26" s="244"/>
      <c r="I26" s="244"/>
    </row>
    <row r="27" spans="1:9" s="476" customFormat="1">
      <c r="A27" s="164"/>
      <c r="B27" s="562"/>
      <c r="C27" s="162"/>
      <c r="D27" s="252"/>
      <c r="E27" s="252"/>
      <c r="F27" s="252"/>
      <c r="G27" s="252"/>
      <c r="H27" s="244"/>
      <c r="I27" s="244"/>
    </row>
    <row r="28" spans="1:9" s="476" customFormat="1">
      <c r="A28" s="164"/>
      <c r="B28" s="562"/>
      <c r="C28"/>
      <c r="D28" s="242"/>
      <c r="E28" s="242"/>
      <c r="F28" s="242"/>
      <c r="G28" s="252"/>
      <c r="H28" s="123"/>
      <c r="I28" s="123"/>
    </row>
    <row r="29" spans="1:9" s="90" customFormat="1" ht="12.75">
      <c r="A29" s="9" t="s">
        <v>8</v>
      </c>
      <c r="B29" s="9"/>
      <c r="C29" s="95"/>
      <c r="D29" s="95"/>
      <c r="E29" s="95"/>
      <c r="F29" s="95"/>
      <c r="G29" s="95"/>
      <c r="H29" s="95"/>
      <c r="I29" s="95"/>
    </row>
    <row r="30" spans="1:9" s="90" customFormat="1" ht="12.75">
      <c r="A30" s="95"/>
      <c r="B30" s="95"/>
      <c r="C30" s="95"/>
      <c r="D30" s="95"/>
      <c r="E30" s="95"/>
      <c r="F30" s="95"/>
      <c r="G30" s="95"/>
      <c r="H30" s="95"/>
      <c r="I30" s="95"/>
    </row>
    <row r="31" spans="1:9" s="90" customFormat="1" ht="12.75">
      <c r="A31" s="95"/>
      <c r="B31" s="256" t="s">
        <v>9</v>
      </c>
      <c r="C31" s="639" t="s">
        <v>10</v>
      </c>
      <c r="D31" s="640"/>
      <c r="E31" s="576" t="s">
        <v>11</v>
      </c>
      <c r="F31" s="577" t="s">
        <v>25</v>
      </c>
      <c r="G31" s="577" t="s">
        <v>66</v>
      </c>
      <c r="H31" s="169"/>
      <c r="I31" s="95"/>
    </row>
    <row r="32" spans="1:9" s="90" customFormat="1" ht="12.75">
      <c r="A32" s="95"/>
      <c r="B32" s="269"/>
      <c r="C32" s="275"/>
      <c r="D32" s="276"/>
      <c r="E32" s="269"/>
      <c r="F32" s="269"/>
      <c r="G32" s="269"/>
      <c r="H32" s="169"/>
      <c r="I32" s="95"/>
    </row>
    <row r="33" spans="1:9" s="95" customFormat="1" ht="12.75">
      <c r="B33" s="289">
        <v>1</v>
      </c>
      <c r="C33" s="644" t="s">
        <v>409</v>
      </c>
      <c r="D33" s="645"/>
      <c r="E33" s="289"/>
      <c r="F33" s="293"/>
      <c r="G33" s="293"/>
      <c r="H33" s="167"/>
    </row>
    <row r="34" spans="1:9" s="95" customFormat="1" ht="12.75">
      <c r="B34" s="289">
        <v>2</v>
      </c>
      <c r="C34" s="644" t="s">
        <v>93</v>
      </c>
      <c r="D34" s="645"/>
      <c r="E34" s="289"/>
      <c r="F34" s="293"/>
      <c r="G34" s="293"/>
      <c r="H34" s="167"/>
    </row>
    <row r="35" spans="1:9" s="95" customFormat="1" ht="12.75">
      <c r="B35" s="292">
        <v>3</v>
      </c>
      <c r="C35" s="295" t="s">
        <v>368</v>
      </c>
      <c r="D35" s="296"/>
      <c r="E35" s="292"/>
      <c r="F35" s="294"/>
      <c r="G35" s="294"/>
      <c r="H35" s="167"/>
    </row>
    <row r="36" spans="1:9" s="90" customFormat="1" ht="12.75">
      <c r="A36" s="95"/>
      <c r="B36" s="297"/>
      <c r="C36" s="646" t="s">
        <v>14</v>
      </c>
      <c r="D36" s="647"/>
      <c r="E36" s="265"/>
      <c r="F36" s="266"/>
      <c r="G36" s="267"/>
      <c r="H36" s="168"/>
      <c r="I36" s="95"/>
    </row>
    <row r="37" spans="1:9" s="90" customFormat="1" ht="12.75">
      <c r="A37" s="114"/>
      <c r="B37" s="114"/>
      <c r="C37" s="18"/>
      <c r="D37" s="19"/>
      <c r="E37" s="19"/>
      <c r="F37" s="19"/>
      <c r="G37" s="115"/>
      <c r="H37" s="95"/>
      <c r="I37" s="95"/>
    </row>
    <row r="38" spans="1:9" s="95" customFormat="1" ht="12.75">
      <c r="A38" s="9" t="s">
        <v>15</v>
      </c>
      <c r="B38" s="9"/>
    </row>
    <row r="39" spans="1:9" s="95" customFormat="1" ht="12.75">
      <c r="A39" s="299" t="s">
        <v>566</v>
      </c>
    </row>
    <row r="40" spans="1:9">
      <c r="A40" s="20"/>
      <c r="B40" s="20"/>
      <c r="C40" s="20"/>
    </row>
  </sheetData>
  <mergeCells count="4">
    <mergeCell ref="C31:D31"/>
    <mergeCell ref="C33:D33"/>
    <mergeCell ref="C34:D34"/>
    <mergeCell ref="C36:D36"/>
  </mergeCells>
  <printOptions horizontalCentered="1"/>
  <pageMargins left="0.2" right="0.2" top="0.5" bottom="0.5" header="0.3" footer="0.3"/>
  <pageSetup paperSize="9" scale="79" orientation="portrait" r:id="rId1"/>
  <drawing r:id="rId2"/>
</worksheet>
</file>

<file path=xl/worksheets/sheet8.xml><?xml version="1.0" encoding="utf-8"?>
<worksheet xmlns="http://schemas.openxmlformats.org/spreadsheetml/2006/main" xmlns:r="http://schemas.openxmlformats.org/officeDocument/2006/relationships">
  <dimension ref="A1:H40"/>
  <sheetViews>
    <sheetView view="pageBreakPreview" zoomScaleNormal="100" zoomScaleSheetLayoutView="100" workbookViewId="0">
      <selection activeCell="H2" sqref="H2"/>
    </sheetView>
  </sheetViews>
  <sheetFormatPr defaultRowHeight="15"/>
  <cols>
    <col min="1" max="2" width="3.7109375" customWidth="1"/>
    <col min="3" max="3" width="36.140625" customWidth="1"/>
    <col min="4" max="4" width="16.7109375" customWidth="1"/>
    <col min="5" max="5" width="14.140625" customWidth="1"/>
    <col min="6" max="6" width="13.7109375" customWidth="1"/>
    <col min="7" max="7" width="11.140625" customWidth="1"/>
    <col min="8" max="8" width="10.28515625" customWidth="1"/>
  </cols>
  <sheetData>
    <row r="1" spans="1:8" ht="21">
      <c r="A1" s="1" t="s">
        <v>0</v>
      </c>
      <c r="B1" s="1"/>
      <c r="H1" s="2" t="s">
        <v>550</v>
      </c>
    </row>
    <row r="3" spans="1:8">
      <c r="A3" s="287" t="s">
        <v>275</v>
      </c>
      <c r="B3" s="287"/>
      <c r="F3" s="85"/>
      <c r="G3" s="86" t="s">
        <v>2</v>
      </c>
      <c r="H3" s="86" t="s">
        <v>3</v>
      </c>
    </row>
    <row r="4" spans="1:8">
      <c r="A4" s="287" t="s">
        <v>4</v>
      </c>
      <c r="B4" s="287"/>
      <c r="F4" s="85" t="s">
        <v>5</v>
      </c>
      <c r="G4" s="85"/>
      <c r="H4" s="85"/>
    </row>
    <row r="5" spans="1:8">
      <c r="A5" s="287"/>
      <c r="B5" s="287"/>
      <c r="F5" s="85" t="s">
        <v>6</v>
      </c>
      <c r="G5" s="85"/>
      <c r="H5" s="85"/>
    </row>
    <row r="6" spans="1:8">
      <c r="A6" s="287"/>
      <c r="B6" s="287"/>
      <c r="E6" s="8"/>
      <c r="F6" s="8"/>
    </row>
    <row r="7" spans="1:8">
      <c r="A7" s="287" t="s">
        <v>575</v>
      </c>
      <c r="B7" s="287"/>
    </row>
    <row r="9" spans="1:8">
      <c r="A9" s="9"/>
      <c r="B9" s="9"/>
    </row>
    <row r="10" spans="1:8">
      <c r="A10" s="9"/>
      <c r="B10" s="9"/>
    </row>
    <row r="11" spans="1:8">
      <c r="A11" s="9"/>
      <c r="B11" s="9"/>
    </row>
    <row r="12" spans="1:8">
      <c r="A12" s="9"/>
      <c r="B12" s="9"/>
    </row>
    <row r="13" spans="1:8">
      <c r="A13" s="9"/>
      <c r="B13" s="9"/>
    </row>
    <row r="14" spans="1:8">
      <c r="A14" s="9"/>
      <c r="B14" s="9"/>
    </row>
    <row r="15" spans="1:8">
      <c r="A15" s="9"/>
      <c r="B15" s="9"/>
    </row>
    <row r="16" spans="1:8">
      <c r="A16" s="9"/>
      <c r="B16" s="9"/>
    </row>
    <row r="17" spans="1:8">
      <c r="A17" s="9"/>
      <c r="B17" s="9"/>
    </row>
    <row r="18" spans="1:8">
      <c r="A18" s="9" t="s">
        <v>92</v>
      </c>
      <c r="B18" s="9"/>
      <c r="C18" s="95"/>
      <c r="D18" s="95"/>
      <c r="E18" s="95"/>
      <c r="F18" s="95"/>
      <c r="G18" s="2" t="s">
        <v>359</v>
      </c>
      <c r="H18" s="561" t="s">
        <v>353</v>
      </c>
    </row>
    <row r="19" spans="1:8">
      <c r="A19" s="12"/>
      <c r="B19" s="12"/>
      <c r="C19" s="162"/>
      <c r="G19" s="136"/>
      <c r="H19" s="165"/>
    </row>
    <row r="20" spans="1:8">
      <c r="A20" s="244">
        <v>1.1000000000000001</v>
      </c>
      <c r="B20" s="162" t="s">
        <v>411</v>
      </c>
      <c r="G20" s="123" t="s">
        <v>24</v>
      </c>
      <c r="H20" s="123" t="s">
        <v>24</v>
      </c>
    </row>
    <row r="21" spans="1:8">
      <c r="A21" s="27"/>
      <c r="B21" s="162" t="s">
        <v>412</v>
      </c>
    </row>
    <row r="22" spans="1:8">
      <c r="A22" s="27"/>
      <c r="B22" s="562" t="s">
        <v>415</v>
      </c>
      <c r="G22" s="123"/>
      <c r="H22" s="123"/>
    </row>
    <row r="23" spans="1:8">
      <c r="A23" s="27"/>
      <c r="B23" s="243"/>
      <c r="G23" s="123"/>
      <c r="H23" s="123"/>
    </row>
    <row r="24" spans="1:8">
      <c r="A24" s="244">
        <v>1.2</v>
      </c>
      <c r="B24" s="162" t="s">
        <v>541</v>
      </c>
      <c r="G24" s="123" t="s">
        <v>24</v>
      </c>
      <c r="H24" s="123" t="s">
        <v>24</v>
      </c>
    </row>
    <row r="25" spans="1:8">
      <c r="A25" s="27"/>
      <c r="B25" s="162" t="s">
        <v>413</v>
      </c>
    </row>
    <row r="26" spans="1:8">
      <c r="A26" s="27"/>
      <c r="B26" s="162" t="s">
        <v>414</v>
      </c>
    </row>
    <row r="27" spans="1:8">
      <c r="A27" s="27"/>
      <c r="B27" s="562" t="s">
        <v>415</v>
      </c>
      <c r="G27" s="123"/>
      <c r="H27" s="123"/>
    </row>
    <row r="28" spans="1:8">
      <c r="A28" s="27"/>
      <c r="B28" s="562"/>
      <c r="G28" s="123"/>
      <c r="H28" s="123"/>
    </row>
    <row r="29" spans="1:8">
      <c r="A29" s="27"/>
      <c r="B29" s="243"/>
      <c r="C29" s="162"/>
      <c r="H29" s="123"/>
    </row>
    <row r="30" spans="1:8">
      <c r="A30" s="9" t="s">
        <v>8</v>
      </c>
      <c r="B30" s="9"/>
      <c r="H30" s="123"/>
    </row>
    <row r="31" spans="1:8">
      <c r="H31" s="123"/>
    </row>
    <row r="32" spans="1:8" s="95" customFormat="1" ht="12.75">
      <c r="B32" s="580" t="s">
        <v>9</v>
      </c>
      <c r="C32" s="580" t="s">
        <v>10</v>
      </c>
      <c r="D32" s="580" t="s">
        <v>11</v>
      </c>
      <c r="E32" s="581" t="s">
        <v>12</v>
      </c>
      <c r="F32" s="281" t="s">
        <v>13</v>
      </c>
      <c r="H32" s="123"/>
    </row>
    <row r="33" spans="1:8" s="95" customFormat="1" ht="12.75">
      <c r="B33" s="286"/>
      <c r="C33" s="286"/>
      <c r="D33" s="286"/>
      <c r="E33" s="304"/>
      <c r="F33" s="286"/>
      <c r="H33" s="123"/>
    </row>
    <row r="34" spans="1:8" s="95" customFormat="1" ht="12.75">
      <c r="B34" s="579">
        <v>1</v>
      </c>
      <c r="C34" s="306" t="s">
        <v>270</v>
      </c>
      <c r="D34" s="307">
        <v>0</v>
      </c>
      <c r="E34" s="290"/>
      <c r="F34" s="290"/>
      <c r="H34" s="123"/>
    </row>
    <row r="35" spans="1:8" s="95" customFormat="1" ht="12.75">
      <c r="B35" s="579">
        <v>2</v>
      </c>
      <c r="C35" s="306" t="s">
        <v>410</v>
      </c>
      <c r="D35" s="307">
        <v>0</v>
      </c>
      <c r="E35" s="290"/>
      <c r="F35" s="290"/>
      <c r="H35" s="123"/>
    </row>
    <row r="36" spans="1:8" s="95" customFormat="1" ht="12.75">
      <c r="B36" s="271">
        <v>3</v>
      </c>
      <c r="C36" s="272" t="s">
        <v>542</v>
      </c>
      <c r="D36" s="308"/>
      <c r="E36" s="451"/>
      <c r="F36" s="451"/>
      <c r="H36" s="123"/>
    </row>
    <row r="37" spans="1:8" s="95" customFormat="1" ht="12.75">
      <c r="B37" s="297"/>
      <c r="C37" s="301" t="s">
        <v>14</v>
      </c>
      <c r="D37" s="302">
        <f>SUM(D34:D35)</f>
        <v>0</v>
      </c>
      <c r="E37" s="265"/>
      <c r="F37" s="578"/>
      <c r="H37" s="123"/>
    </row>
    <row r="38" spans="1:8">
      <c r="A38" s="17"/>
      <c r="B38" s="17"/>
      <c r="C38" s="18"/>
      <c r="D38" s="19"/>
      <c r="E38" s="19"/>
      <c r="F38" s="19"/>
      <c r="H38" s="123"/>
    </row>
    <row r="39" spans="1:8" s="95" customFormat="1" ht="12.75">
      <c r="A39" s="9" t="s">
        <v>15</v>
      </c>
      <c r="B39" s="9"/>
      <c r="H39" s="123"/>
    </row>
    <row r="40" spans="1:8" s="95" customFormat="1" ht="12.75">
      <c r="A40" s="95" t="s">
        <v>566</v>
      </c>
      <c r="H40" s="123"/>
    </row>
  </sheetData>
  <printOptions horizontalCentered="1"/>
  <pageMargins left="0.2" right="0.2" top="0.5" bottom="0.5" header="0.3" footer="0.3"/>
  <pageSetup paperSize="9" scale="83" orientation="portrait" r:id="rId1"/>
  <drawing r:id="rId2"/>
</worksheet>
</file>

<file path=xl/worksheets/sheet9.xml><?xml version="1.0" encoding="utf-8"?>
<worksheet xmlns="http://schemas.openxmlformats.org/spreadsheetml/2006/main" xmlns:r="http://schemas.openxmlformats.org/officeDocument/2006/relationships">
  <dimension ref="A1:K52"/>
  <sheetViews>
    <sheetView view="pageBreakPreview" zoomScaleNormal="100" zoomScaleSheetLayoutView="100" workbookViewId="0">
      <selection activeCell="H7" sqref="H7"/>
    </sheetView>
  </sheetViews>
  <sheetFormatPr defaultRowHeight="15"/>
  <cols>
    <col min="1" max="2" width="4.140625" customWidth="1"/>
    <col min="3" max="3" width="47.85546875" customWidth="1"/>
    <col min="4" max="4" width="16.7109375" customWidth="1"/>
    <col min="5" max="6" width="14.140625" customWidth="1"/>
    <col min="7" max="7" width="10.42578125" customWidth="1"/>
    <col min="8" max="8" width="13.28515625" customWidth="1"/>
    <col min="257" max="258" width="4.140625" customWidth="1"/>
    <col min="259" max="259" width="47.85546875" customWidth="1"/>
    <col min="260" max="260" width="16.7109375" customWidth="1"/>
    <col min="261" max="262" width="14.140625" customWidth="1"/>
    <col min="263" max="263" width="10.42578125" customWidth="1"/>
    <col min="264" max="264" width="13.28515625" customWidth="1"/>
    <col min="513" max="514" width="4.140625" customWidth="1"/>
    <col min="515" max="515" width="47.85546875" customWidth="1"/>
    <col min="516" max="516" width="16.7109375" customWidth="1"/>
    <col min="517" max="518" width="14.140625" customWidth="1"/>
    <col min="519" max="519" width="10.42578125" customWidth="1"/>
    <col min="520" max="520" width="13.28515625" customWidth="1"/>
    <col min="769" max="770" width="4.140625" customWidth="1"/>
    <col min="771" max="771" width="47.85546875" customWidth="1"/>
    <col min="772" max="772" width="16.7109375" customWidth="1"/>
    <col min="773" max="774" width="14.140625" customWidth="1"/>
    <col min="775" max="775" width="10.42578125" customWidth="1"/>
    <col min="776" max="776" width="13.28515625" customWidth="1"/>
    <col min="1025" max="1026" width="4.140625" customWidth="1"/>
    <col min="1027" max="1027" width="47.85546875" customWidth="1"/>
    <col min="1028" max="1028" width="16.7109375" customWidth="1"/>
    <col min="1029" max="1030" width="14.140625" customWidth="1"/>
    <col min="1031" max="1031" width="10.42578125" customWidth="1"/>
    <col min="1032" max="1032" width="13.28515625" customWidth="1"/>
    <col min="1281" max="1282" width="4.140625" customWidth="1"/>
    <col min="1283" max="1283" width="47.85546875" customWidth="1"/>
    <col min="1284" max="1284" width="16.7109375" customWidth="1"/>
    <col min="1285" max="1286" width="14.140625" customWidth="1"/>
    <col min="1287" max="1287" width="10.42578125" customWidth="1"/>
    <col min="1288" max="1288" width="13.28515625" customWidth="1"/>
    <col min="1537" max="1538" width="4.140625" customWidth="1"/>
    <col min="1539" max="1539" width="47.85546875" customWidth="1"/>
    <col min="1540" max="1540" width="16.7109375" customWidth="1"/>
    <col min="1541" max="1542" width="14.140625" customWidth="1"/>
    <col min="1543" max="1543" width="10.42578125" customWidth="1"/>
    <col min="1544" max="1544" width="13.28515625" customWidth="1"/>
    <col min="1793" max="1794" width="4.140625" customWidth="1"/>
    <col min="1795" max="1795" width="47.85546875" customWidth="1"/>
    <col min="1796" max="1796" width="16.7109375" customWidth="1"/>
    <col min="1797" max="1798" width="14.140625" customWidth="1"/>
    <col min="1799" max="1799" width="10.42578125" customWidth="1"/>
    <col min="1800" max="1800" width="13.28515625" customWidth="1"/>
    <col min="2049" max="2050" width="4.140625" customWidth="1"/>
    <col min="2051" max="2051" width="47.85546875" customWidth="1"/>
    <col min="2052" max="2052" width="16.7109375" customWidth="1"/>
    <col min="2053" max="2054" width="14.140625" customWidth="1"/>
    <col min="2055" max="2055" width="10.42578125" customWidth="1"/>
    <col min="2056" max="2056" width="13.28515625" customWidth="1"/>
    <col min="2305" max="2306" width="4.140625" customWidth="1"/>
    <col min="2307" max="2307" width="47.85546875" customWidth="1"/>
    <col min="2308" max="2308" width="16.7109375" customWidth="1"/>
    <col min="2309" max="2310" width="14.140625" customWidth="1"/>
    <col min="2311" max="2311" width="10.42578125" customWidth="1"/>
    <col min="2312" max="2312" width="13.28515625" customWidth="1"/>
    <col min="2561" max="2562" width="4.140625" customWidth="1"/>
    <col min="2563" max="2563" width="47.85546875" customWidth="1"/>
    <col min="2564" max="2564" width="16.7109375" customWidth="1"/>
    <col min="2565" max="2566" width="14.140625" customWidth="1"/>
    <col min="2567" max="2567" width="10.42578125" customWidth="1"/>
    <col min="2568" max="2568" width="13.28515625" customWidth="1"/>
    <col min="2817" max="2818" width="4.140625" customWidth="1"/>
    <col min="2819" max="2819" width="47.85546875" customWidth="1"/>
    <col min="2820" max="2820" width="16.7109375" customWidth="1"/>
    <col min="2821" max="2822" width="14.140625" customWidth="1"/>
    <col min="2823" max="2823" width="10.42578125" customWidth="1"/>
    <col min="2824" max="2824" width="13.28515625" customWidth="1"/>
    <col min="3073" max="3074" width="4.140625" customWidth="1"/>
    <col min="3075" max="3075" width="47.85546875" customWidth="1"/>
    <col min="3076" max="3076" width="16.7109375" customWidth="1"/>
    <col min="3077" max="3078" width="14.140625" customWidth="1"/>
    <col min="3079" max="3079" width="10.42578125" customWidth="1"/>
    <col min="3080" max="3080" width="13.28515625" customWidth="1"/>
    <col min="3329" max="3330" width="4.140625" customWidth="1"/>
    <col min="3331" max="3331" width="47.85546875" customWidth="1"/>
    <col min="3332" max="3332" width="16.7109375" customWidth="1"/>
    <col min="3333" max="3334" width="14.140625" customWidth="1"/>
    <col min="3335" max="3335" width="10.42578125" customWidth="1"/>
    <col min="3336" max="3336" width="13.28515625" customWidth="1"/>
    <col min="3585" max="3586" width="4.140625" customWidth="1"/>
    <col min="3587" max="3587" width="47.85546875" customWidth="1"/>
    <col min="3588" max="3588" width="16.7109375" customWidth="1"/>
    <col min="3589" max="3590" width="14.140625" customWidth="1"/>
    <col min="3591" max="3591" width="10.42578125" customWidth="1"/>
    <col min="3592" max="3592" width="13.28515625" customWidth="1"/>
    <col min="3841" max="3842" width="4.140625" customWidth="1"/>
    <col min="3843" max="3843" width="47.85546875" customWidth="1"/>
    <col min="3844" max="3844" width="16.7109375" customWidth="1"/>
    <col min="3845" max="3846" width="14.140625" customWidth="1"/>
    <col min="3847" max="3847" width="10.42578125" customWidth="1"/>
    <col min="3848" max="3848" width="13.28515625" customWidth="1"/>
    <col min="4097" max="4098" width="4.140625" customWidth="1"/>
    <col min="4099" max="4099" width="47.85546875" customWidth="1"/>
    <col min="4100" max="4100" width="16.7109375" customWidth="1"/>
    <col min="4101" max="4102" width="14.140625" customWidth="1"/>
    <col min="4103" max="4103" width="10.42578125" customWidth="1"/>
    <col min="4104" max="4104" width="13.28515625" customWidth="1"/>
    <col min="4353" max="4354" width="4.140625" customWidth="1"/>
    <col min="4355" max="4355" width="47.85546875" customWidth="1"/>
    <col min="4356" max="4356" width="16.7109375" customWidth="1"/>
    <col min="4357" max="4358" width="14.140625" customWidth="1"/>
    <col min="4359" max="4359" width="10.42578125" customWidth="1"/>
    <col min="4360" max="4360" width="13.28515625" customWidth="1"/>
    <col min="4609" max="4610" width="4.140625" customWidth="1"/>
    <col min="4611" max="4611" width="47.85546875" customWidth="1"/>
    <col min="4612" max="4612" width="16.7109375" customWidth="1"/>
    <col min="4613" max="4614" width="14.140625" customWidth="1"/>
    <col min="4615" max="4615" width="10.42578125" customWidth="1"/>
    <col min="4616" max="4616" width="13.28515625" customWidth="1"/>
    <col min="4865" max="4866" width="4.140625" customWidth="1"/>
    <col min="4867" max="4867" width="47.85546875" customWidth="1"/>
    <col min="4868" max="4868" width="16.7109375" customWidth="1"/>
    <col min="4869" max="4870" width="14.140625" customWidth="1"/>
    <col min="4871" max="4871" width="10.42578125" customWidth="1"/>
    <col min="4872" max="4872" width="13.28515625" customWidth="1"/>
    <col min="5121" max="5122" width="4.140625" customWidth="1"/>
    <col min="5123" max="5123" width="47.85546875" customWidth="1"/>
    <col min="5124" max="5124" width="16.7109375" customWidth="1"/>
    <col min="5125" max="5126" width="14.140625" customWidth="1"/>
    <col min="5127" max="5127" width="10.42578125" customWidth="1"/>
    <col min="5128" max="5128" width="13.28515625" customWidth="1"/>
    <col min="5377" max="5378" width="4.140625" customWidth="1"/>
    <col min="5379" max="5379" width="47.85546875" customWidth="1"/>
    <col min="5380" max="5380" width="16.7109375" customWidth="1"/>
    <col min="5381" max="5382" width="14.140625" customWidth="1"/>
    <col min="5383" max="5383" width="10.42578125" customWidth="1"/>
    <col min="5384" max="5384" width="13.28515625" customWidth="1"/>
    <col min="5633" max="5634" width="4.140625" customWidth="1"/>
    <col min="5635" max="5635" width="47.85546875" customWidth="1"/>
    <col min="5636" max="5636" width="16.7109375" customWidth="1"/>
    <col min="5637" max="5638" width="14.140625" customWidth="1"/>
    <col min="5639" max="5639" width="10.42578125" customWidth="1"/>
    <col min="5640" max="5640" width="13.28515625" customWidth="1"/>
    <col min="5889" max="5890" width="4.140625" customWidth="1"/>
    <col min="5891" max="5891" width="47.85546875" customWidth="1"/>
    <col min="5892" max="5892" width="16.7109375" customWidth="1"/>
    <col min="5893" max="5894" width="14.140625" customWidth="1"/>
    <col min="5895" max="5895" width="10.42578125" customWidth="1"/>
    <col min="5896" max="5896" width="13.28515625" customWidth="1"/>
    <col min="6145" max="6146" width="4.140625" customWidth="1"/>
    <col min="6147" max="6147" width="47.85546875" customWidth="1"/>
    <col min="6148" max="6148" width="16.7109375" customWidth="1"/>
    <col min="6149" max="6150" width="14.140625" customWidth="1"/>
    <col min="6151" max="6151" width="10.42578125" customWidth="1"/>
    <col min="6152" max="6152" width="13.28515625" customWidth="1"/>
    <col min="6401" max="6402" width="4.140625" customWidth="1"/>
    <col min="6403" max="6403" width="47.85546875" customWidth="1"/>
    <col min="6404" max="6404" width="16.7109375" customWidth="1"/>
    <col min="6405" max="6406" width="14.140625" customWidth="1"/>
    <col min="6407" max="6407" width="10.42578125" customWidth="1"/>
    <col min="6408" max="6408" width="13.28515625" customWidth="1"/>
    <col min="6657" max="6658" width="4.140625" customWidth="1"/>
    <col min="6659" max="6659" width="47.85546875" customWidth="1"/>
    <col min="6660" max="6660" width="16.7109375" customWidth="1"/>
    <col min="6661" max="6662" width="14.140625" customWidth="1"/>
    <col min="6663" max="6663" width="10.42578125" customWidth="1"/>
    <col min="6664" max="6664" width="13.28515625" customWidth="1"/>
    <col min="6913" max="6914" width="4.140625" customWidth="1"/>
    <col min="6915" max="6915" width="47.85546875" customWidth="1"/>
    <col min="6916" max="6916" width="16.7109375" customWidth="1"/>
    <col min="6917" max="6918" width="14.140625" customWidth="1"/>
    <col min="6919" max="6919" width="10.42578125" customWidth="1"/>
    <col min="6920" max="6920" width="13.28515625" customWidth="1"/>
    <col min="7169" max="7170" width="4.140625" customWidth="1"/>
    <col min="7171" max="7171" width="47.85546875" customWidth="1"/>
    <col min="7172" max="7172" width="16.7109375" customWidth="1"/>
    <col min="7173" max="7174" width="14.140625" customWidth="1"/>
    <col min="7175" max="7175" width="10.42578125" customWidth="1"/>
    <col min="7176" max="7176" width="13.28515625" customWidth="1"/>
    <col min="7425" max="7426" width="4.140625" customWidth="1"/>
    <col min="7427" max="7427" width="47.85546875" customWidth="1"/>
    <col min="7428" max="7428" width="16.7109375" customWidth="1"/>
    <col min="7429" max="7430" width="14.140625" customWidth="1"/>
    <col min="7431" max="7431" width="10.42578125" customWidth="1"/>
    <col min="7432" max="7432" width="13.28515625" customWidth="1"/>
    <col min="7681" max="7682" width="4.140625" customWidth="1"/>
    <col min="7683" max="7683" width="47.85546875" customWidth="1"/>
    <col min="7684" max="7684" width="16.7109375" customWidth="1"/>
    <col min="7685" max="7686" width="14.140625" customWidth="1"/>
    <col min="7687" max="7687" width="10.42578125" customWidth="1"/>
    <col min="7688" max="7688" width="13.28515625" customWidth="1"/>
    <col min="7937" max="7938" width="4.140625" customWidth="1"/>
    <col min="7939" max="7939" width="47.85546875" customWidth="1"/>
    <col min="7940" max="7940" width="16.7109375" customWidth="1"/>
    <col min="7941" max="7942" width="14.140625" customWidth="1"/>
    <col min="7943" max="7943" width="10.42578125" customWidth="1"/>
    <col min="7944" max="7944" width="13.28515625" customWidth="1"/>
    <col min="8193" max="8194" width="4.140625" customWidth="1"/>
    <col min="8195" max="8195" width="47.85546875" customWidth="1"/>
    <col min="8196" max="8196" width="16.7109375" customWidth="1"/>
    <col min="8197" max="8198" width="14.140625" customWidth="1"/>
    <col min="8199" max="8199" width="10.42578125" customWidth="1"/>
    <col min="8200" max="8200" width="13.28515625" customWidth="1"/>
    <col min="8449" max="8450" width="4.140625" customWidth="1"/>
    <col min="8451" max="8451" width="47.85546875" customWidth="1"/>
    <col min="8452" max="8452" width="16.7109375" customWidth="1"/>
    <col min="8453" max="8454" width="14.140625" customWidth="1"/>
    <col min="8455" max="8455" width="10.42578125" customWidth="1"/>
    <col min="8456" max="8456" width="13.28515625" customWidth="1"/>
    <col min="8705" max="8706" width="4.140625" customWidth="1"/>
    <col min="8707" max="8707" width="47.85546875" customWidth="1"/>
    <col min="8708" max="8708" width="16.7109375" customWidth="1"/>
    <col min="8709" max="8710" width="14.140625" customWidth="1"/>
    <col min="8711" max="8711" width="10.42578125" customWidth="1"/>
    <col min="8712" max="8712" width="13.28515625" customWidth="1"/>
    <col min="8961" max="8962" width="4.140625" customWidth="1"/>
    <col min="8963" max="8963" width="47.85546875" customWidth="1"/>
    <col min="8964" max="8964" width="16.7109375" customWidth="1"/>
    <col min="8965" max="8966" width="14.140625" customWidth="1"/>
    <col min="8967" max="8967" width="10.42578125" customWidth="1"/>
    <col min="8968" max="8968" width="13.28515625" customWidth="1"/>
    <col min="9217" max="9218" width="4.140625" customWidth="1"/>
    <col min="9219" max="9219" width="47.85546875" customWidth="1"/>
    <col min="9220" max="9220" width="16.7109375" customWidth="1"/>
    <col min="9221" max="9222" width="14.140625" customWidth="1"/>
    <col min="9223" max="9223" width="10.42578125" customWidth="1"/>
    <col min="9224" max="9224" width="13.28515625" customWidth="1"/>
    <col min="9473" max="9474" width="4.140625" customWidth="1"/>
    <col min="9475" max="9475" width="47.85546875" customWidth="1"/>
    <col min="9476" max="9476" width="16.7109375" customWidth="1"/>
    <col min="9477" max="9478" width="14.140625" customWidth="1"/>
    <col min="9479" max="9479" width="10.42578125" customWidth="1"/>
    <col min="9480" max="9480" width="13.28515625" customWidth="1"/>
    <col min="9729" max="9730" width="4.140625" customWidth="1"/>
    <col min="9731" max="9731" width="47.85546875" customWidth="1"/>
    <col min="9732" max="9732" width="16.7109375" customWidth="1"/>
    <col min="9733" max="9734" width="14.140625" customWidth="1"/>
    <col min="9735" max="9735" width="10.42578125" customWidth="1"/>
    <col min="9736" max="9736" width="13.28515625" customWidth="1"/>
    <col min="9985" max="9986" width="4.140625" customWidth="1"/>
    <col min="9987" max="9987" width="47.85546875" customWidth="1"/>
    <col min="9988" max="9988" width="16.7109375" customWidth="1"/>
    <col min="9989" max="9990" width="14.140625" customWidth="1"/>
    <col min="9991" max="9991" width="10.42578125" customWidth="1"/>
    <col min="9992" max="9992" width="13.28515625" customWidth="1"/>
    <col min="10241" max="10242" width="4.140625" customWidth="1"/>
    <col min="10243" max="10243" width="47.85546875" customWidth="1"/>
    <col min="10244" max="10244" width="16.7109375" customWidth="1"/>
    <col min="10245" max="10246" width="14.140625" customWidth="1"/>
    <col min="10247" max="10247" width="10.42578125" customWidth="1"/>
    <col min="10248" max="10248" width="13.28515625" customWidth="1"/>
    <col min="10497" max="10498" width="4.140625" customWidth="1"/>
    <col min="10499" max="10499" width="47.85546875" customWidth="1"/>
    <col min="10500" max="10500" width="16.7109375" customWidth="1"/>
    <col min="10501" max="10502" width="14.140625" customWidth="1"/>
    <col min="10503" max="10503" width="10.42578125" customWidth="1"/>
    <col min="10504" max="10504" width="13.28515625" customWidth="1"/>
    <col min="10753" max="10754" width="4.140625" customWidth="1"/>
    <col min="10755" max="10755" width="47.85546875" customWidth="1"/>
    <col min="10756" max="10756" width="16.7109375" customWidth="1"/>
    <col min="10757" max="10758" width="14.140625" customWidth="1"/>
    <col min="10759" max="10759" width="10.42578125" customWidth="1"/>
    <col min="10760" max="10760" width="13.28515625" customWidth="1"/>
    <col min="11009" max="11010" width="4.140625" customWidth="1"/>
    <col min="11011" max="11011" width="47.85546875" customWidth="1"/>
    <col min="11012" max="11012" width="16.7109375" customWidth="1"/>
    <col min="11013" max="11014" width="14.140625" customWidth="1"/>
    <col min="11015" max="11015" width="10.42578125" customWidth="1"/>
    <col min="11016" max="11016" width="13.28515625" customWidth="1"/>
    <col min="11265" max="11266" width="4.140625" customWidth="1"/>
    <col min="11267" max="11267" width="47.85546875" customWidth="1"/>
    <col min="11268" max="11268" width="16.7109375" customWidth="1"/>
    <col min="11269" max="11270" width="14.140625" customWidth="1"/>
    <col min="11271" max="11271" width="10.42578125" customWidth="1"/>
    <col min="11272" max="11272" width="13.28515625" customWidth="1"/>
    <col min="11521" max="11522" width="4.140625" customWidth="1"/>
    <col min="11523" max="11523" width="47.85546875" customWidth="1"/>
    <col min="11524" max="11524" width="16.7109375" customWidth="1"/>
    <col min="11525" max="11526" width="14.140625" customWidth="1"/>
    <col min="11527" max="11527" width="10.42578125" customWidth="1"/>
    <col min="11528" max="11528" width="13.28515625" customWidth="1"/>
    <col min="11777" max="11778" width="4.140625" customWidth="1"/>
    <col min="11779" max="11779" width="47.85546875" customWidth="1"/>
    <col min="11780" max="11780" width="16.7109375" customWidth="1"/>
    <col min="11781" max="11782" width="14.140625" customWidth="1"/>
    <col min="11783" max="11783" width="10.42578125" customWidth="1"/>
    <col min="11784" max="11784" width="13.28515625" customWidth="1"/>
    <col min="12033" max="12034" width="4.140625" customWidth="1"/>
    <col min="12035" max="12035" width="47.85546875" customWidth="1"/>
    <col min="12036" max="12036" width="16.7109375" customWidth="1"/>
    <col min="12037" max="12038" width="14.140625" customWidth="1"/>
    <col min="12039" max="12039" width="10.42578125" customWidth="1"/>
    <col min="12040" max="12040" width="13.28515625" customWidth="1"/>
    <col min="12289" max="12290" width="4.140625" customWidth="1"/>
    <col min="12291" max="12291" width="47.85546875" customWidth="1"/>
    <col min="12292" max="12292" width="16.7109375" customWidth="1"/>
    <col min="12293" max="12294" width="14.140625" customWidth="1"/>
    <col min="12295" max="12295" width="10.42578125" customWidth="1"/>
    <col min="12296" max="12296" width="13.28515625" customWidth="1"/>
    <col min="12545" max="12546" width="4.140625" customWidth="1"/>
    <col min="12547" max="12547" width="47.85546875" customWidth="1"/>
    <col min="12548" max="12548" width="16.7109375" customWidth="1"/>
    <col min="12549" max="12550" width="14.140625" customWidth="1"/>
    <col min="12551" max="12551" width="10.42578125" customWidth="1"/>
    <col min="12552" max="12552" width="13.28515625" customWidth="1"/>
    <col min="12801" max="12802" width="4.140625" customWidth="1"/>
    <col min="12803" max="12803" width="47.85546875" customWidth="1"/>
    <col min="12804" max="12804" width="16.7109375" customWidth="1"/>
    <col min="12805" max="12806" width="14.140625" customWidth="1"/>
    <col min="12807" max="12807" width="10.42578125" customWidth="1"/>
    <col min="12808" max="12808" width="13.28515625" customWidth="1"/>
    <col min="13057" max="13058" width="4.140625" customWidth="1"/>
    <col min="13059" max="13059" width="47.85546875" customWidth="1"/>
    <col min="13060" max="13060" width="16.7109375" customWidth="1"/>
    <col min="13061" max="13062" width="14.140625" customWidth="1"/>
    <col min="13063" max="13063" width="10.42578125" customWidth="1"/>
    <col min="13064" max="13064" width="13.28515625" customWidth="1"/>
    <col min="13313" max="13314" width="4.140625" customWidth="1"/>
    <col min="13315" max="13315" width="47.85546875" customWidth="1"/>
    <col min="13316" max="13316" width="16.7109375" customWidth="1"/>
    <col min="13317" max="13318" width="14.140625" customWidth="1"/>
    <col min="13319" max="13319" width="10.42578125" customWidth="1"/>
    <col min="13320" max="13320" width="13.28515625" customWidth="1"/>
    <col min="13569" max="13570" width="4.140625" customWidth="1"/>
    <col min="13571" max="13571" width="47.85546875" customWidth="1"/>
    <col min="13572" max="13572" width="16.7109375" customWidth="1"/>
    <col min="13573" max="13574" width="14.140625" customWidth="1"/>
    <col min="13575" max="13575" width="10.42578125" customWidth="1"/>
    <col min="13576" max="13576" width="13.28515625" customWidth="1"/>
    <col min="13825" max="13826" width="4.140625" customWidth="1"/>
    <col min="13827" max="13827" width="47.85546875" customWidth="1"/>
    <col min="13828" max="13828" width="16.7109375" customWidth="1"/>
    <col min="13829" max="13830" width="14.140625" customWidth="1"/>
    <col min="13831" max="13831" width="10.42578125" customWidth="1"/>
    <col min="13832" max="13832" width="13.28515625" customWidth="1"/>
    <col min="14081" max="14082" width="4.140625" customWidth="1"/>
    <col min="14083" max="14083" width="47.85546875" customWidth="1"/>
    <col min="14084" max="14084" width="16.7109375" customWidth="1"/>
    <col min="14085" max="14086" width="14.140625" customWidth="1"/>
    <col min="14087" max="14087" width="10.42578125" customWidth="1"/>
    <col min="14088" max="14088" width="13.28515625" customWidth="1"/>
    <col min="14337" max="14338" width="4.140625" customWidth="1"/>
    <col min="14339" max="14339" width="47.85546875" customWidth="1"/>
    <col min="14340" max="14340" width="16.7109375" customWidth="1"/>
    <col min="14341" max="14342" width="14.140625" customWidth="1"/>
    <col min="14343" max="14343" width="10.42578125" customWidth="1"/>
    <col min="14344" max="14344" width="13.28515625" customWidth="1"/>
    <col min="14593" max="14594" width="4.140625" customWidth="1"/>
    <col min="14595" max="14595" width="47.85546875" customWidth="1"/>
    <col min="14596" max="14596" width="16.7109375" customWidth="1"/>
    <col min="14597" max="14598" width="14.140625" customWidth="1"/>
    <col min="14599" max="14599" width="10.42578125" customWidth="1"/>
    <col min="14600" max="14600" width="13.28515625" customWidth="1"/>
    <col min="14849" max="14850" width="4.140625" customWidth="1"/>
    <col min="14851" max="14851" width="47.85546875" customWidth="1"/>
    <col min="14852" max="14852" width="16.7109375" customWidth="1"/>
    <col min="14853" max="14854" width="14.140625" customWidth="1"/>
    <col min="14855" max="14855" width="10.42578125" customWidth="1"/>
    <col min="14856" max="14856" width="13.28515625" customWidth="1"/>
    <col min="15105" max="15106" width="4.140625" customWidth="1"/>
    <col min="15107" max="15107" width="47.85546875" customWidth="1"/>
    <col min="15108" max="15108" width="16.7109375" customWidth="1"/>
    <col min="15109" max="15110" width="14.140625" customWidth="1"/>
    <col min="15111" max="15111" width="10.42578125" customWidth="1"/>
    <col min="15112" max="15112" width="13.28515625" customWidth="1"/>
    <col min="15361" max="15362" width="4.140625" customWidth="1"/>
    <col min="15363" max="15363" width="47.85546875" customWidth="1"/>
    <col min="15364" max="15364" width="16.7109375" customWidth="1"/>
    <col min="15365" max="15366" width="14.140625" customWidth="1"/>
    <col min="15367" max="15367" width="10.42578125" customWidth="1"/>
    <col min="15368" max="15368" width="13.28515625" customWidth="1"/>
    <col min="15617" max="15618" width="4.140625" customWidth="1"/>
    <col min="15619" max="15619" width="47.85546875" customWidth="1"/>
    <col min="15620" max="15620" width="16.7109375" customWidth="1"/>
    <col min="15621" max="15622" width="14.140625" customWidth="1"/>
    <col min="15623" max="15623" width="10.42578125" customWidth="1"/>
    <col min="15624" max="15624" width="13.28515625" customWidth="1"/>
    <col min="15873" max="15874" width="4.140625" customWidth="1"/>
    <col min="15875" max="15875" width="47.85546875" customWidth="1"/>
    <col min="15876" max="15876" width="16.7109375" customWidth="1"/>
    <col min="15877" max="15878" width="14.140625" customWidth="1"/>
    <col min="15879" max="15879" width="10.42578125" customWidth="1"/>
    <col min="15880" max="15880" width="13.28515625" customWidth="1"/>
    <col min="16129" max="16130" width="4.140625" customWidth="1"/>
    <col min="16131" max="16131" width="47.85546875" customWidth="1"/>
    <col min="16132" max="16132" width="16.7109375" customWidth="1"/>
    <col min="16133" max="16134" width="14.140625" customWidth="1"/>
    <col min="16135" max="16135" width="10.42578125" customWidth="1"/>
    <col min="16136" max="16136" width="13.28515625" customWidth="1"/>
  </cols>
  <sheetData>
    <row r="1" spans="1:11" ht="21">
      <c r="A1" s="1" t="s">
        <v>0</v>
      </c>
      <c r="B1" s="1"/>
      <c r="E1" s="95"/>
      <c r="G1" s="95"/>
      <c r="H1" s="2" t="s">
        <v>551</v>
      </c>
      <c r="K1" s="3"/>
    </row>
    <row r="2" spans="1:11">
      <c r="E2" s="95"/>
      <c r="G2" s="95"/>
      <c r="H2" s="95"/>
    </row>
    <row r="3" spans="1:11" ht="15.75">
      <c r="A3" s="287" t="s">
        <v>275</v>
      </c>
      <c r="B3" s="4"/>
      <c r="F3" s="85"/>
      <c r="G3" s="86" t="s">
        <v>2</v>
      </c>
      <c r="H3" s="86" t="s">
        <v>3</v>
      </c>
    </row>
    <row r="4" spans="1:11" ht="15.75">
      <c r="A4" s="287" t="s">
        <v>4</v>
      </c>
      <c r="B4" s="4"/>
      <c r="F4" s="85" t="s">
        <v>5</v>
      </c>
      <c r="G4" s="85"/>
      <c r="H4" s="85"/>
    </row>
    <row r="5" spans="1:11">
      <c r="A5" s="287"/>
      <c r="B5" s="7"/>
      <c r="F5" s="85" t="s">
        <v>6</v>
      </c>
      <c r="G5" s="85"/>
      <c r="H5" s="85"/>
    </row>
    <row r="6" spans="1:11">
      <c r="A6" s="287"/>
      <c r="B6" s="7"/>
      <c r="E6" s="8"/>
      <c r="F6" s="8"/>
    </row>
    <row r="7" spans="1:11" ht="15.75">
      <c r="A7" s="287" t="s">
        <v>576</v>
      </c>
      <c r="B7" s="4"/>
    </row>
    <row r="25" spans="1:8" s="95" customFormat="1" ht="15" customHeight="1">
      <c r="A25" s="9" t="s">
        <v>92</v>
      </c>
      <c r="B25" s="9"/>
      <c r="G25" s="2" t="s">
        <v>359</v>
      </c>
      <c r="H25" s="561" t="s">
        <v>353</v>
      </c>
    </row>
    <row r="26" spans="1:8" s="95" customFormat="1" ht="15" customHeight="1">
      <c r="A26" s="164"/>
      <c r="B26" s="164"/>
      <c r="H26" s="123"/>
    </row>
    <row r="27" spans="1:8" s="95" customFormat="1" ht="15" customHeight="1">
      <c r="A27" s="244">
        <v>1.1000000000000001</v>
      </c>
      <c r="B27" s="95" t="s">
        <v>403</v>
      </c>
      <c r="G27" s="123" t="s">
        <v>24</v>
      </c>
      <c r="H27" s="123" t="s">
        <v>24</v>
      </c>
    </row>
    <row r="28" spans="1:8" s="95" customFormat="1" ht="15" customHeight="1">
      <c r="A28" s="244"/>
      <c r="B28" s="95" t="s">
        <v>416</v>
      </c>
    </row>
    <row r="29" spans="1:8" s="95" customFormat="1" ht="15" customHeight="1">
      <c r="A29" s="244"/>
      <c r="B29" s="562" t="s">
        <v>415</v>
      </c>
      <c r="G29" s="123"/>
      <c r="H29" s="123"/>
    </row>
    <row r="30" spans="1:8" s="95" customFormat="1" ht="15" customHeight="1">
      <c r="A30" s="244"/>
      <c r="B30" s="243"/>
      <c r="G30" s="123"/>
      <c r="H30" s="123"/>
    </row>
    <row r="31" spans="1:8" s="95" customFormat="1" ht="15" customHeight="1">
      <c r="A31" s="244">
        <v>1.2</v>
      </c>
      <c r="B31" s="162" t="s">
        <v>417</v>
      </c>
      <c r="G31" s="123" t="s">
        <v>24</v>
      </c>
      <c r="H31" s="123" t="s">
        <v>24</v>
      </c>
    </row>
    <row r="32" spans="1:8" s="95" customFormat="1" ht="15" customHeight="1">
      <c r="A32" s="244"/>
      <c r="B32" s="162" t="s">
        <v>418</v>
      </c>
    </row>
    <row r="33" spans="1:8" s="95" customFormat="1" ht="15" customHeight="1">
      <c r="A33" s="244"/>
      <c r="B33" s="562" t="s">
        <v>415</v>
      </c>
      <c r="G33" s="123"/>
      <c r="H33" s="123"/>
    </row>
    <row r="34" spans="1:8" s="95" customFormat="1" ht="15" customHeight="1">
      <c r="A34" s="244"/>
      <c r="B34" s="162"/>
      <c r="G34" s="123"/>
      <c r="H34" s="123"/>
    </row>
    <row r="35" spans="1:8" s="95" customFormat="1" ht="15" customHeight="1">
      <c r="A35" s="244">
        <v>1.3</v>
      </c>
      <c r="B35" s="162" t="s">
        <v>419</v>
      </c>
      <c r="G35" s="123" t="s">
        <v>24</v>
      </c>
      <c r="H35" s="123" t="s">
        <v>24</v>
      </c>
    </row>
    <row r="36" spans="1:8" s="95" customFormat="1" ht="15" customHeight="1">
      <c r="A36" s="244"/>
      <c r="B36" s="162" t="s">
        <v>420</v>
      </c>
    </row>
    <row r="37" spans="1:8" s="95" customFormat="1" ht="15" customHeight="1">
      <c r="A37" s="244"/>
      <c r="B37" s="562" t="s">
        <v>415</v>
      </c>
    </row>
    <row r="38" spans="1:8" s="95" customFormat="1" ht="15" customHeight="1">
      <c r="A38" s="116"/>
      <c r="B38" s="116"/>
    </row>
    <row r="39" spans="1:8" s="95" customFormat="1" ht="15" customHeight="1">
      <c r="A39" s="9" t="s">
        <v>8</v>
      </c>
      <c r="B39" s="9"/>
    </row>
    <row r="40" spans="1:8" s="95" customFormat="1" ht="15" customHeight="1"/>
    <row r="41" spans="1:8" s="95" customFormat="1" ht="15" customHeight="1">
      <c r="B41" s="580" t="s">
        <v>9</v>
      </c>
      <c r="C41" s="580" t="s">
        <v>10</v>
      </c>
      <c r="D41" s="580" t="s">
        <v>11</v>
      </c>
      <c r="E41" s="581" t="s">
        <v>12</v>
      </c>
      <c r="F41" s="580" t="s">
        <v>13</v>
      </c>
    </row>
    <row r="42" spans="1:8" s="95" customFormat="1" ht="9.9499999999999993" customHeight="1">
      <c r="B42" s="286"/>
      <c r="C42" s="286"/>
      <c r="D42" s="286"/>
      <c r="E42" s="304"/>
      <c r="F42" s="286"/>
    </row>
    <row r="43" spans="1:8" s="95" customFormat="1" ht="12" customHeight="1">
      <c r="B43" s="579">
        <v>1</v>
      </c>
      <c r="C43" s="309" t="s">
        <v>77</v>
      </c>
      <c r="D43" s="310">
        <v>0</v>
      </c>
      <c r="E43" s="311"/>
      <c r="F43" s="291"/>
    </row>
    <row r="44" spans="1:8" s="95" customFormat="1" ht="15" customHeight="1">
      <c r="B44" s="579">
        <v>2</v>
      </c>
      <c r="C44" s="309" t="s">
        <v>94</v>
      </c>
      <c r="D44" s="310">
        <v>0</v>
      </c>
      <c r="E44" s="311"/>
      <c r="F44" s="291"/>
    </row>
    <row r="45" spans="1:8" s="95" customFormat="1" ht="15" customHeight="1">
      <c r="B45" s="579">
        <v>3</v>
      </c>
      <c r="C45" s="309" t="s">
        <v>78</v>
      </c>
      <c r="D45" s="310">
        <v>0</v>
      </c>
      <c r="E45" s="311"/>
      <c r="F45" s="291"/>
    </row>
    <row r="46" spans="1:8" s="95" customFormat="1" ht="15" customHeight="1">
      <c r="B46" s="579">
        <v>4</v>
      </c>
      <c r="C46" s="309" t="s">
        <v>79</v>
      </c>
      <c r="D46" s="310">
        <v>0</v>
      </c>
      <c r="E46" s="311"/>
      <c r="F46" s="291"/>
    </row>
    <row r="47" spans="1:8" s="95" customFormat="1" ht="15" customHeight="1">
      <c r="B47" s="579">
        <v>5</v>
      </c>
      <c r="C47" s="309" t="s">
        <v>16</v>
      </c>
      <c r="D47" s="310">
        <v>0</v>
      </c>
      <c r="E47" s="311"/>
      <c r="F47" s="291"/>
    </row>
    <row r="48" spans="1:8" s="95" customFormat="1" ht="9.9499999999999993" customHeight="1">
      <c r="B48" s="271"/>
      <c r="C48" s="312"/>
      <c r="D48" s="313"/>
      <c r="E48" s="314"/>
      <c r="F48" s="451"/>
    </row>
    <row r="49" spans="1:6" s="95" customFormat="1" ht="15" customHeight="1">
      <c r="B49" s="297"/>
      <c r="C49" s="301" t="s">
        <v>14</v>
      </c>
      <c r="D49" s="302">
        <f>SUM(D43:D47)</f>
        <v>0</v>
      </c>
      <c r="E49" s="265"/>
      <c r="F49" s="301"/>
    </row>
    <row r="50" spans="1:6" s="95" customFormat="1" ht="15" customHeight="1">
      <c r="A50" s="114"/>
      <c r="C50" s="18"/>
      <c r="D50" s="19"/>
      <c r="E50" s="19"/>
      <c r="F50" s="19"/>
    </row>
    <row r="51" spans="1:6" s="95" customFormat="1" ht="15" customHeight="1">
      <c r="A51" s="9" t="s">
        <v>15</v>
      </c>
      <c r="B51" s="9"/>
    </row>
    <row r="52" spans="1:6" s="95" customFormat="1" ht="15" customHeight="1">
      <c r="A52" s="95" t="s">
        <v>566</v>
      </c>
    </row>
  </sheetData>
  <printOptions horizontalCentered="1"/>
  <pageMargins left="0.2" right="0.2" top="0.5" bottom="0.5" header="0.3" footer="0.3"/>
  <pageSetup paperSize="9" scale="79" orientation="portrait" r:id="rId1"/>
  <drawing r:id="rId2"/>
</worksheet>
</file>

<file path=xl/worksheets/sheet10.xml><?xml version="1.0" encoding="utf-8"?>
<worksheet xmlns="http://schemas.openxmlformats.org/spreadsheetml/2006/main" xmlns:r="http://schemas.openxmlformats.org/officeDocument/2006/relationships">
  <dimension ref="A1:I52"/>
  <sheetViews>
    <sheetView view="pageBreakPreview" topLeftCell="A7" zoomScaleNormal="100" zoomScaleSheetLayoutView="100" workbookViewId="0">
      <selection activeCell="H29" sqref="H29"/>
    </sheetView>
  </sheetViews>
  <sheetFormatPr defaultColWidth="42" defaultRowHeight="15"/>
  <cols>
    <col min="1" max="2" width="3.7109375" customWidth="1"/>
    <col min="3" max="3" width="80.85546875" customWidth="1"/>
    <col min="4" max="4" width="12.42578125" customWidth="1"/>
    <col min="5" max="5" width="11.28515625" customWidth="1"/>
    <col min="6" max="6" width="13.42578125" customWidth="1"/>
    <col min="7" max="254" width="9.140625" customWidth="1"/>
    <col min="255" max="255" width="4.7109375" customWidth="1"/>
    <col min="257" max="258" width="3.7109375" customWidth="1"/>
    <col min="259" max="259" width="80.85546875" customWidth="1"/>
    <col min="260" max="260" width="12.42578125" customWidth="1"/>
    <col min="261" max="261" width="11.28515625" customWidth="1"/>
    <col min="262" max="262" width="13.42578125" customWidth="1"/>
    <col min="263" max="510" width="9.140625" customWidth="1"/>
    <col min="511" max="511" width="4.7109375" customWidth="1"/>
    <col min="513" max="514" width="3.7109375" customWidth="1"/>
    <col min="515" max="515" width="80.85546875" customWidth="1"/>
    <col min="516" max="516" width="12.42578125" customWidth="1"/>
    <col min="517" max="517" width="11.28515625" customWidth="1"/>
    <col min="518" max="518" width="13.42578125" customWidth="1"/>
    <col min="519" max="766" width="9.140625" customWidth="1"/>
    <col min="767" max="767" width="4.7109375" customWidth="1"/>
    <col min="769" max="770" width="3.7109375" customWidth="1"/>
    <col min="771" max="771" width="80.85546875" customWidth="1"/>
    <col min="772" max="772" width="12.42578125" customWidth="1"/>
    <col min="773" max="773" width="11.28515625" customWidth="1"/>
    <col min="774" max="774" width="13.42578125" customWidth="1"/>
    <col min="775" max="1022" width="9.140625" customWidth="1"/>
    <col min="1023" max="1023" width="4.7109375" customWidth="1"/>
    <col min="1025" max="1026" width="3.7109375" customWidth="1"/>
    <col min="1027" max="1027" width="80.85546875" customWidth="1"/>
    <col min="1028" max="1028" width="12.42578125" customWidth="1"/>
    <col min="1029" max="1029" width="11.28515625" customWidth="1"/>
    <col min="1030" max="1030" width="13.42578125" customWidth="1"/>
    <col min="1031" max="1278" width="9.140625" customWidth="1"/>
    <col min="1279" max="1279" width="4.7109375" customWidth="1"/>
    <col min="1281" max="1282" width="3.7109375" customWidth="1"/>
    <col min="1283" max="1283" width="80.85546875" customWidth="1"/>
    <col min="1284" max="1284" width="12.42578125" customWidth="1"/>
    <col min="1285" max="1285" width="11.28515625" customWidth="1"/>
    <col min="1286" max="1286" width="13.42578125" customWidth="1"/>
    <col min="1287" max="1534" width="9.140625" customWidth="1"/>
    <col min="1535" max="1535" width="4.7109375" customWidth="1"/>
    <col min="1537" max="1538" width="3.7109375" customWidth="1"/>
    <col min="1539" max="1539" width="80.85546875" customWidth="1"/>
    <col min="1540" max="1540" width="12.42578125" customWidth="1"/>
    <col min="1541" max="1541" width="11.28515625" customWidth="1"/>
    <col min="1542" max="1542" width="13.42578125" customWidth="1"/>
    <col min="1543" max="1790" width="9.140625" customWidth="1"/>
    <col min="1791" max="1791" width="4.7109375" customWidth="1"/>
    <col min="1793" max="1794" width="3.7109375" customWidth="1"/>
    <col min="1795" max="1795" width="80.85546875" customWidth="1"/>
    <col min="1796" max="1796" width="12.42578125" customWidth="1"/>
    <col min="1797" max="1797" width="11.28515625" customWidth="1"/>
    <col min="1798" max="1798" width="13.42578125" customWidth="1"/>
    <col min="1799" max="2046" width="9.140625" customWidth="1"/>
    <col min="2047" max="2047" width="4.7109375" customWidth="1"/>
    <col min="2049" max="2050" width="3.7109375" customWidth="1"/>
    <col min="2051" max="2051" width="80.85546875" customWidth="1"/>
    <col min="2052" max="2052" width="12.42578125" customWidth="1"/>
    <col min="2053" max="2053" width="11.28515625" customWidth="1"/>
    <col min="2054" max="2054" width="13.42578125" customWidth="1"/>
    <col min="2055" max="2302" width="9.140625" customWidth="1"/>
    <col min="2303" max="2303" width="4.7109375" customWidth="1"/>
    <col min="2305" max="2306" width="3.7109375" customWidth="1"/>
    <col min="2307" max="2307" width="80.85546875" customWidth="1"/>
    <col min="2308" max="2308" width="12.42578125" customWidth="1"/>
    <col min="2309" max="2309" width="11.28515625" customWidth="1"/>
    <col min="2310" max="2310" width="13.42578125" customWidth="1"/>
    <col min="2311" max="2558" width="9.140625" customWidth="1"/>
    <col min="2559" max="2559" width="4.7109375" customWidth="1"/>
    <col min="2561" max="2562" width="3.7109375" customWidth="1"/>
    <col min="2563" max="2563" width="80.85546875" customWidth="1"/>
    <col min="2564" max="2564" width="12.42578125" customWidth="1"/>
    <col min="2565" max="2565" width="11.28515625" customWidth="1"/>
    <col min="2566" max="2566" width="13.42578125" customWidth="1"/>
    <col min="2567" max="2814" width="9.140625" customWidth="1"/>
    <col min="2815" max="2815" width="4.7109375" customWidth="1"/>
    <col min="2817" max="2818" width="3.7109375" customWidth="1"/>
    <col min="2819" max="2819" width="80.85546875" customWidth="1"/>
    <col min="2820" max="2820" width="12.42578125" customWidth="1"/>
    <col min="2821" max="2821" width="11.28515625" customWidth="1"/>
    <col min="2822" max="2822" width="13.42578125" customWidth="1"/>
    <col min="2823" max="3070" width="9.140625" customWidth="1"/>
    <col min="3071" max="3071" width="4.7109375" customWidth="1"/>
    <col min="3073" max="3074" width="3.7109375" customWidth="1"/>
    <col min="3075" max="3075" width="80.85546875" customWidth="1"/>
    <col min="3076" max="3076" width="12.42578125" customWidth="1"/>
    <col min="3077" max="3077" width="11.28515625" customWidth="1"/>
    <col min="3078" max="3078" width="13.42578125" customWidth="1"/>
    <col min="3079" max="3326" width="9.140625" customWidth="1"/>
    <col min="3327" max="3327" width="4.7109375" customWidth="1"/>
    <col min="3329" max="3330" width="3.7109375" customWidth="1"/>
    <col min="3331" max="3331" width="80.85546875" customWidth="1"/>
    <col min="3332" max="3332" width="12.42578125" customWidth="1"/>
    <col min="3333" max="3333" width="11.28515625" customWidth="1"/>
    <col min="3334" max="3334" width="13.42578125" customWidth="1"/>
    <col min="3335" max="3582" width="9.140625" customWidth="1"/>
    <col min="3583" max="3583" width="4.7109375" customWidth="1"/>
    <col min="3585" max="3586" width="3.7109375" customWidth="1"/>
    <col min="3587" max="3587" width="80.85546875" customWidth="1"/>
    <col min="3588" max="3588" width="12.42578125" customWidth="1"/>
    <col min="3589" max="3589" width="11.28515625" customWidth="1"/>
    <col min="3590" max="3590" width="13.42578125" customWidth="1"/>
    <col min="3591" max="3838" width="9.140625" customWidth="1"/>
    <col min="3839" max="3839" width="4.7109375" customWidth="1"/>
    <col min="3841" max="3842" width="3.7109375" customWidth="1"/>
    <col min="3843" max="3843" width="80.85546875" customWidth="1"/>
    <col min="3844" max="3844" width="12.42578125" customWidth="1"/>
    <col min="3845" max="3845" width="11.28515625" customWidth="1"/>
    <col min="3846" max="3846" width="13.42578125" customWidth="1"/>
    <col min="3847" max="4094" width="9.140625" customWidth="1"/>
    <col min="4095" max="4095" width="4.7109375" customWidth="1"/>
    <col min="4097" max="4098" width="3.7109375" customWidth="1"/>
    <col min="4099" max="4099" width="80.85546875" customWidth="1"/>
    <col min="4100" max="4100" width="12.42578125" customWidth="1"/>
    <col min="4101" max="4101" width="11.28515625" customWidth="1"/>
    <col min="4102" max="4102" width="13.42578125" customWidth="1"/>
    <col min="4103" max="4350" width="9.140625" customWidth="1"/>
    <col min="4351" max="4351" width="4.7109375" customWidth="1"/>
    <col min="4353" max="4354" width="3.7109375" customWidth="1"/>
    <col min="4355" max="4355" width="80.85546875" customWidth="1"/>
    <col min="4356" max="4356" width="12.42578125" customWidth="1"/>
    <col min="4357" max="4357" width="11.28515625" customWidth="1"/>
    <col min="4358" max="4358" width="13.42578125" customWidth="1"/>
    <col min="4359" max="4606" width="9.140625" customWidth="1"/>
    <col min="4607" max="4607" width="4.7109375" customWidth="1"/>
    <col min="4609" max="4610" width="3.7109375" customWidth="1"/>
    <col min="4611" max="4611" width="80.85546875" customWidth="1"/>
    <col min="4612" max="4612" width="12.42578125" customWidth="1"/>
    <col min="4613" max="4613" width="11.28515625" customWidth="1"/>
    <col min="4614" max="4614" width="13.42578125" customWidth="1"/>
    <col min="4615" max="4862" width="9.140625" customWidth="1"/>
    <col min="4863" max="4863" width="4.7109375" customWidth="1"/>
    <col min="4865" max="4866" width="3.7109375" customWidth="1"/>
    <col min="4867" max="4867" width="80.85546875" customWidth="1"/>
    <col min="4868" max="4868" width="12.42578125" customWidth="1"/>
    <col min="4869" max="4869" width="11.28515625" customWidth="1"/>
    <col min="4870" max="4870" width="13.42578125" customWidth="1"/>
    <col min="4871" max="5118" width="9.140625" customWidth="1"/>
    <col min="5119" max="5119" width="4.7109375" customWidth="1"/>
    <col min="5121" max="5122" width="3.7109375" customWidth="1"/>
    <col min="5123" max="5123" width="80.85546875" customWidth="1"/>
    <col min="5124" max="5124" width="12.42578125" customWidth="1"/>
    <col min="5125" max="5125" width="11.28515625" customWidth="1"/>
    <col min="5126" max="5126" width="13.42578125" customWidth="1"/>
    <col min="5127" max="5374" width="9.140625" customWidth="1"/>
    <col min="5375" max="5375" width="4.7109375" customWidth="1"/>
    <col min="5377" max="5378" width="3.7109375" customWidth="1"/>
    <col min="5379" max="5379" width="80.85546875" customWidth="1"/>
    <col min="5380" max="5380" width="12.42578125" customWidth="1"/>
    <col min="5381" max="5381" width="11.28515625" customWidth="1"/>
    <col min="5382" max="5382" width="13.42578125" customWidth="1"/>
    <col min="5383" max="5630" width="9.140625" customWidth="1"/>
    <col min="5631" max="5631" width="4.7109375" customWidth="1"/>
    <col min="5633" max="5634" width="3.7109375" customWidth="1"/>
    <col min="5635" max="5635" width="80.85546875" customWidth="1"/>
    <col min="5636" max="5636" width="12.42578125" customWidth="1"/>
    <col min="5637" max="5637" width="11.28515625" customWidth="1"/>
    <col min="5638" max="5638" width="13.42578125" customWidth="1"/>
    <col min="5639" max="5886" width="9.140625" customWidth="1"/>
    <col min="5887" max="5887" width="4.7109375" customWidth="1"/>
    <col min="5889" max="5890" width="3.7109375" customWidth="1"/>
    <col min="5891" max="5891" width="80.85546875" customWidth="1"/>
    <col min="5892" max="5892" width="12.42578125" customWidth="1"/>
    <col min="5893" max="5893" width="11.28515625" customWidth="1"/>
    <col min="5894" max="5894" width="13.42578125" customWidth="1"/>
    <col min="5895" max="6142" width="9.140625" customWidth="1"/>
    <col min="6143" max="6143" width="4.7109375" customWidth="1"/>
    <col min="6145" max="6146" width="3.7109375" customWidth="1"/>
    <col min="6147" max="6147" width="80.85546875" customWidth="1"/>
    <col min="6148" max="6148" width="12.42578125" customWidth="1"/>
    <col min="6149" max="6149" width="11.28515625" customWidth="1"/>
    <col min="6150" max="6150" width="13.42578125" customWidth="1"/>
    <col min="6151" max="6398" width="9.140625" customWidth="1"/>
    <col min="6399" max="6399" width="4.7109375" customWidth="1"/>
    <col min="6401" max="6402" width="3.7109375" customWidth="1"/>
    <col min="6403" max="6403" width="80.85546875" customWidth="1"/>
    <col min="6404" max="6404" width="12.42578125" customWidth="1"/>
    <col min="6405" max="6405" width="11.28515625" customWidth="1"/>
    <col min="6406" max="6406" width="13.42578125" customWidth="1"/>
    <col min="6407" max="6654" width="9.140625" customWidth="1"/>
    <col min="6655" max="6655" width="4.7109375" customWidth="1"/>
    <col min="6657" max="6658" width="3.7109375" customWidth="1"/>
    <col min="6659" max="6659" width="80.85546875" customWidth="1"/>
    <col min="6660" max="6660" width="12.42578125" customWidth="1"/>
    <col min="6661" max="6661" width="11.28515625" customWidth="1"/>
    <col min="6662" max="6662" width="13.42578125" customWidth="1"/>
    <col min="6663" max="6910" width="9.140625" customWidth="1"/>
    <col min="6911" max="6911" width="4.7109375" customWidth="1"/>
    <col min="6913" max="6914" width="3.7109375" customWidth="1"/>
    <col min="6915" max="6915" width="80.85546875" customWidth="1"/>
    <col min="6916" max="6916" width="12.42578125" customWidth="1"/>
    <col min="6917" max="6917" width="11.28515625" customWidth="1"/>
    <col min="6918" max="6918" width="13.42578125" customWidth="1"/>
    <col min="6919" max="7166" width="9.140625" customWidth="1"/>
    <col min="7167" max="7167" width="4.7109375" customWidth="1"/>
    <col min="7169" max="7170" width="3.7109375" customWidth="1"/>
    <col min="7171" max="7171" width="80.85546875" customWidth="1"/>
    <col min="7172" max="7172" width="12.42578125" customWidth="1"/>
    <col min="7173" max="7173" width="11.28515625" customWidth="1"/>
    <col min="7174" max="7174" width="13.42578125" customWidth="1"/>
    <col min="7175" max="7422" width="9.140625" customWidth="1"/>
    <col min="7423" max="7423" width="4.7109375" customWidth="1"/>
    <col min="7425" max="7426" width="3.7109375" customWidth="1"/>
    <col min="7427" max="7427" width="80.85546875" customWidth="1"/>
    <col min="7428" max="7428" width="12.42578125" customWidth="1"/>
    <col min="7429" max="7429" width="11.28515625" customWidth="1"/>
    <col min="7430" max="7430" width="13.42578125" customWidth="1"/>
    <col min="7431" max="7678" width="9.140625" customWidth="1"/>
    <col min="7679" max="7679" width="4.7109375" customWidth="1"/>
    <col min="7681" max="7682" width="3.7109375" customWidth="1"/>
    <col min="7683" max="7683" width="80.85546875" customWidth="1"/>
    <col min="7684" max="7684" width="12.42578125" customWidth="1"/>
    <col min="7685" max="7685" width="11.28515625" customWidth="1"/>
    <col min="7686" max="7686" width="13.42578125" customWidth="1"/>
    <col min="7687" max="7934" width="9.140625" customWidth="1"/>
    <col min="7935" max="7935" width="4.7109375" customWidth="1"/>
    <col min="7937" max="7938" width="3.7109375" customWidth="1"/>
    <col min="7939" max="7939" width="80.85546875" customWidth="1"/>
    <col min="7940" max="7940" width="12.42578125" customWidth="1"/>
    <col min="7941" max="7941" width="11.28515625" customWidth="1"/>
    <col min="7942" max="7942" width="13.42578125" customWidth="1"/>
    <col min="7943" max="8190" width="9.140625" customWidth="1"/>
    <col min="8191" max="8191" width="4.7109375" customWidth="1"/>
    <col min="8193" max="8194" width="3.7109375" customWidth="1"/>
    <col min="8195" max="8195" width="80.85546875" customWidth="1"/>
    <col min="8196" max="8196" width="12.42578125" customWidth="1"/>
    <col min="8197" max="8197" width="11.28515625" customWidth="1"/>
    <col min="8198" max="8198" width="13.42578125" customWidth="1"/>
    <col min="8199" max="8446" width="9.140625" customWidth="1"/>
    <col min="8447" max="8447" width="4.7109375" customWidth="1"/>
    <col min="8449" max="8450" width="3.7109375" customWidth="1"/>
    <col min="8451" max="8451" width="80.85546875" customWidth="1"/>
    <col min="8452" max="8452" width="12.42578125" customWidth="1"/>
    <col min="8453" max="8453" width="11.28515625" customWidth="1"/>
    <col min="8454" max="8454" width="13.42578125" customWidth="1"/>
    <col min="8455" max="8702" width="9.140625" customWidth="1"/>
    <col min="8703" max="8703" width="4.7109375" customWidth="1"/>
    <col min="8705" max="8706" width="3.7109375" customWidth="1"/>
    <col min="8707" max="8707" width="80.85546875" customWidth="1"/>
    <col min="8708" max="8708" width="12.42578125" customWidth="1"/>
    <col min="8709" max="8709" width="11.28515625" customWidth="1"/>
    <col min="8710" max="8710" width="13.42578125" customWidth="1"/>
    <col min="8711" max="8958" width="9.140625" customWidth="1"/>
    <col min="8959" max="8959" width="4.7109375" customWidth="1"/>
    <col min="8961" max="8962" width="3.7109375" customWidth="1"/>
    <col min="8963" max="8963" width="80.85546875" customWidth="1"/>
    <col min="8964" max="8964" width="12.42578125" customWidth="1"/>
    <col min="8965" max="8965" width="11.28515625" customWidth="1"/>
    <col min="8966" max="8966" width="13.42578125" customWidth="1"/>
    <col min="8967" max="9214" width="9.140625" customWidth="1"/>
    <col min="9215" max="9215" width="4.7109375" customWidth="1"/>
    <col min="9217" max="9218" width="3.7109375" customWidth="1"/>
    <col min="9219" max="9219" width="80.85546875" customWidth="1"/>
    <col min="9220" max="9220" width="12.42578125" customWidth="1"/>
    <col min="9221" max="9221" width="11.28515625" customWidth="1"/>
    <col min="9222" max="9222" width="13.42578125" customWidth="1"/>
    <col min="9223" max="9470" width="9.140625" customWidth="1"/>
    <col min="9471" max="9471" width="4.7109375" customWidth="1"/>
    <col min="9473" max="9474" width="3.7109375" customWidth="1"/>
    <col min="9475" max="9475" width="80.85546875" customWidth="1"/>
    <col min="9476" max="9476" width="12.42578125" customWidth="1"/>
    <col min="9477" max="9477" width="11.28515625" customWidth="1"/>
    <col min="9478" max="9478" width="13.42578125" customWidth="1"/>
    <col min="9479" max="9726" width="9.140625" customWidth="1"/>
    <col min="9727" max="9727" width="4.7109375" customWidth="1"/>
    <col min="9729" max="9730" width="3.7109375" customWidth="1"/>
    <col min="9731" max="9731" width="80.85546875" customWidth="1"/>
    <col min="9732" max="9732" width="12.42578125" customWidth="1"/>
    <col min="9733" max="9733" width="11.28515625" customWidth="1"/>
    <col min="9734" max="9734" width="13.42578125" customWidth="1"/>
    <col min="9735" max="9982" width="9.140625" customWidth="1"/>
    <col min="9983" max="9983" width="4.7109375" customWidth="1"/>
    <col min="9985" max="9986" width="3.7109375" customWidth="1"/>
    <col min="9987" max="9987" width="80.85546875" customWidth="1"/>
    <col min="9988" max="9988" width="12.42578125" customWidth="1"/>
    <col min="9989" max="9989" width="11.28515625" customWidth="1"/>
    <col min="9990" max="9990" width="13.42578125" customWidth="1"/>
    <col min="9991" max="10238" width="9.140625" customWidth="1"/>
    <col min="10239" max="10239" width="4.7109375" customWidth="1"/>
    <col min="10241" max="10242" width="3.7109375" customWidth="1"/>
    <col min="10243" max="10243" width="80.85546875" customWidth="1"/>
    <col min="10244" max="10244" width="12.42578125" customWidth="1"/>
    <col min="10245" max="10245" width="11.28515625" customWidth="1"/>
    <col min="10246" max="10246" width="13.42578125" customWidth="1"/>
    <col min="10247" max="10494" width="9.140625" customWidth="1"/>
    <col min="10495" max="10495" width="4.7109375" customWidth="1"/>
    <col min="10497" max="10498" width="3.7109375" customWidth="1"/>
    <col min="10499" max="10499" width="80.85546875" customWidth="1"/>
    <col min="10500" max="10500" width="12.42578125" customWidth="1"/>
    <col min="10501" max="10501" width="11.28515625" customWidth="1"/>
    <col min="10502" max="10502" width="13.42578125" customWidth="1"/>
    <col min="10503" max="10750" width="9.140625" customWidth="1"/>
    <col min="10751" max="10751" width="4.7109375" customWidth="1"/>
    <col min="10753" max="10754" width="3.7109375" customWidth="1"/>
    <col min="10755" max="10755" width="80.85546875" customWidth="1"/>
    <col min="10756" max="10756" width="12.42578125" customWidth="1"/>
    <col min="10757" max="10757" width="11.28515625" customWidth="1"/>
    <col min="10758" max="10758" width="13.42578125" customWidth="1"/>
    <col min="10759" max="11006" width="9.140625" customWidth="1"/>
    <col min="11007" max="11007" width="4.7109375" customWidth="1"/>
    <col min="11009" max="11010" width="3.7109375" customWidth="1"/>
    <col min="11011" max="11011" width="80.85546875" customWidth="1"/>
    <col min="11012" max="11012" width="12.42578125" customWidth="1"/>
    <col min="11013" max="11013" width="11.28515625" customWidth="1"/>
    <col min="11014" max="11014" width="13.42578125" customWidth="1"/>
    <col min="11015" max="11262" width="9.140625" customWidth="1"/>
    <col min="11263" max="11263" width="4.7109375" customWidth="1"/>
    <col min="11265" max="11266" width="3.7109375" customWidth="1"/>
    <col min="11267" max="11267" width="80.85546875" customWidth="1"/>
    <col min="11268" max="11268" width="12.42578125" customWidth="1"/>
    <col min="11269" max="11269" width="11.28515625" customWidth="1"/>
    <col min="11270" max="11270" width="13.42578125" customWidth="1"/>
    <col min="11271" max="11518" width="9.140625" customWidth="1"/>
    <col min="11519" max="11519" width="4.7109375" customWidth="1"/>
    <col min="11521" max="11522" width="3.7109375" customWidth="1"/>
    <col min="11523" max="11523" width="80.85546875" customWidth="1"/>
    <col min="11524" max="11524" width="12.42578125" customWidth="1"/>
    <col min="11525" max="11525" width="11.28515625" customWidth="1"/>
    <col min="11526" max="11526" width="13.42578125" customWidth="1"/>
    <col min="11527" max="11774" width="9.140625" customWidth="1"/>
    <col min="11775" max="11775" width="4.7109375" customWidth="1"/>
    <col min="11777" max="11778" width="3.7109375" customWidth="1"/>
    <col min="11779" max="11779" width="80.85546875" customWidth="1"/>
    <col min="11780" max="11780" width="12.42578125" customWidth="1"/>
    <col min="11781" max="11781" width="11.28515625" customWidth="1"/>
    <col min="11782" max="11782" width="13.42578125" customWidth="1"/>
    <col min="11783" max="12030" width="9.140625" customWidth="1"/>
    <col min="12031" max="12031" width="4.7109375" customWidth="1"/>
    <col min="12033" max="12034" width="3.7109375" customWidth="1"/>
    <col min="12035" max="12035" width="80.85546875" customWidth="1"/>
    <col min="12036" max="12036" width="12.42578125" customWidth="1"/>
    <col min="12037" max="12037" width="11.28515625" customWidth="1"/>
    <col min="12038" max="12038" width="13.42578125" customWidth="1"/>
    <col min="12039" max="12286" width="9.140625" customWidth="1"/>
    <col min="12287" max="12287" width="4.7109375" customWidth="1"/>
    <col min="12289" max="12290" width="3.7109375" customWidth="1"/>
    <col min="12291" max="12291" width="80.85546875" customWidth="1"/>
    <col min="12292" max="12292" width="12.42578125" customWidth="1"/>
    <col min="12293" max="12293" width="11.28515625" customWidth="1"/>
    <col min="12294" max="12294" width="13.42578125" customWidth="1"/>
    <col min="12295" max="12542" width="9.140625" customWidth="1"/>
    <col min="12543" max="12543" width="4.7109375" customWidth="1"/>
    <col min="12545" max="12546" width="3.7109375" customWidth="1"/>
    <col min="12547" max="12547" width="80.85546875" customWidth="1"/>
    <col min="12548" max="12548" width="12.42578125" customWidth="1"/>
    <col min="12549" max="12549" width="11.28515625" customWidth="1"/>
    <col min="12550" max="12550" width="13.42578125" customWidth="1"/>
    <col min="12551" max="12798" width="9.140625" customWidth="1"/>
    <col min="12799" max="12799" width="4.7109375" customWidth="1"/>
    <col min="12801" max="12802" width="3.7109375" customWidth="1"/>
    <col min="12803" max="12803" width="80.85546875" customWidth="1"/>
    <col min="12804" max="12804" width="12.42578125" customWidth="1"/>
    <col min="12805" max="12805" width="11.28515625" customWidth="1"/>
    <col min="12806" max="12806" width="13.42578125" customWidth="1"/>
    <col min="12807" max="13054" width="9.140625" customWidth="1"/>
    <col min="13055" max="13055" width="4.7109375" customWidth="1"/>
    <col min="13057" max="13058" width="3.7109375" customWidth="1"/>
    <col min="13059" max="13059" width="80.85546875" customWidth="1"/>
    <col min="13060" max="13060" width="12.42578125" customWidth="1"/>
    <col min="13061" max="13061" width="11.28515625" customWidth="1"/>
    <col min="13062" max="13062" width="13.42578125" customWidth="1"/>
    <col min="13063" max="13310" width="9.140625" customWidth="1"/>
    <col min="13311" max="13311" width="4.7109375" customWidth="1"/>
    <col min="13313" max="13314" width="3.7109375" customWidth="1"/>
    <col min="13315" max="13315" width="80.85546875" customWidth="1"/>
    <col min="13316" max="13316" width="12.42578125" customWidth="1"/>
    <col min="13317" max="13317" width="11.28515625" customWidth="1"/>
    <col min="13318" max="13318" width="13.42578125" customWidth="1"/>
    <col min="13319" max="13566" width="9.140625" customWidth="1"/>
    <col min="13567" max="13567" width="4.7109375" customWidth="1"/>
    <col min="13569" max="13570" width="3.7109375" customWidth="1"/>
    <col min="13571" max="13571" width="80.85546875" customWidth="1"/>
    <col min="13572" max="13572" width="12.42578125" customWidth="1"/>
    <col min="13573" max="13573" width="11.28515625" customWidth="1"/>
    <col min="13574" max="13574" width="13.42578125" customWidth="1"/>
    <col min="13575" max="13822" width="9.140625" customWidth="1"/>
    <col min="13823" max="13823" width="4.7109375" customWidth="1"/>
    <col min="13825" max="13826" width="3.7109375" customWidth="1"/>
    <col min="13827" max="13827" width="80.85546875" customWidth="1"/>
    <col min="13828" max="13828" width="12.42578125" customWidth="1"/>
    <col min="13829" max="13829" width="11.28515625" customWidth="1"/>
    <col min="13830" max="13830" width="13.42578125" customWidth="1"/>
    <col min="13831" max="14078" width="9.140625" customWidth="1"/>
    <col min="14079" max="14079" width="4.7109375" customWidth="1"/>
    <col min="14081" max="14082" width="3.7109375" customWidth="1"/>
    <col min="14083" max="14083" width="80.85546875" customWidth="1"/>
    <col min="14084" max="14084" width="12.42578125" customWidth="1"/>
    <col min="14085" max="14085" width="11.28515625" customWidth="1"/>
    <col min="14086" max="14086" width="13.42578125" customWidth="1"/>
    <col min="14087" max="14334" width="9.140625" customWidth="1"/>
    <col min="14335" max="14335" width="4.7109375" customWidth="1"/>
    <col min="14337" max="14338" width="3.7109375" customWidth="1"/>
    <col min="14339" max="14339" width="80.85546875" customWidth="1"/>
    <col min="14340" max="14340" width="12.42578125" customWidth="1"/>
    <col min="14341" max="14341" width="11.28515625" customWidth="1"/>
    <col min="14342" max="14342" width="13.42578125" customWidth="1"/>
    <col min="14343" max="14590" width="9.140625" customWidth="1"/>
    <col min="14591" max="14591" width="4.7109375" customWidth="1"/>
    <col min="14593" max="14594" width="3.7109375" customWidth="1"/>
    <col min="14595" max="14595" width="80.85546875" customWidth="1"/>
    <col min="14596" max="14596" width="12.42578125" customWidth="1"/>
    <col min="14597" max="14597" width="11.28515625" customWidth="1"/>
    <col min="14598" max="14598" width="13.42578125" customWidth="1"/>
    <col min="14599" max="14846" width="9.140625" customWidth="1"/>
    <col min="14847" max="14847" width="4.7109375" customWidth="1"/>
    <col min="14849" max="14850" width="3.7109375" customWidth="1"/>
    <col min="14851" max="14851" width="80.85546875" customWidth="1"/>
    <col min="14852" max="14852" width="12.42578125" customWidth="1"/>
    <col min="14853" max="14853" width="11.28515625" customWidth="1"/>
    <col min="14854" max="14854" width="13.42578125" customWidth="1"/>
    <col min="14855" max="15102" width="9.140625" customWidth="1"/>
    <col min="15103" max="15103" width="4.7109375" customWidth="1"/>
    <col min="15105" max="15106" width="3.7109375" customWidth="1"/>
    <col min="15107" max="15107" width="80.85546875" customWidth="1"/>
    <col min="15108" max="15108" width="12.42578125" customWidth="1"/>
    <col min="15109" max="15109" width="11.28515625" customWidth="1"/>
    <col min="15110" max="15110" width="13.42578125" customWidth="1"/>
    <col min="15111" max="15358" width="9.140625" customWidth="1"/>
    <col min="15359" max="15359" width="4.7109375" customWidth="1"/>
    <col min="15361" max="15362" width="3.7109375" customWidth="1"/>
    <col min="15363" max="15363" width="80.85546875" customWidth="1"/>
    <col min="15364" max="15364" width="12.42578125" customWidth="1"/>
    <col min="15365" max="15365" width="11.28515625" customWidth="1"/>
    <col min="15366" max="15366" width="13.42578125" customWidth="1"/>
    <col min="15367" max="15614" width="9.140625" customWidth="1"/>
    <col min="15615" max="15615" width="4.7109375" customWidth="1"/>
    <col min="15617" max="15618" width="3.7109375" customWidth="1"/>
    <col min="15619" max="15619" width="80.85546875" customWidth="1"/>
    <col min="15620" max="15620" width="12.42578125" customWidth="1"/>
    <col min="15621" max="15621" width="11.28515625" customWidth="1"/>
    <col min="15622" max="15622" width="13.42578125" customWidth="1"/>
    <col min="15623" max="15870" width="9.140625" customWidth="1"/>
    <col min="15871" max="15871" width="4.7109375" customWidth="1"/>
    <col min="15873" max="15874" width="3.7109375" customWidth="1"/>
    <col min="15875" max="15875" width="80.85546875" customWidth="1"/>
    <col min="15876" max="15876" width="12.42578125" customWidth="1"/>
    <col min="15877" max="15877" width="11.28515625" customWidth="1"/>
    <col min="15878" max="15878" width="13.42578125" customWidth="1"/>
    <col min="15879" max="16126" width="9.140625" customWidth="1"/>
    <col min="16127" max="16127" width="4.7109375" customWidth="1"/>
    <col min="16129" max="16130" width="3.7109375" customWidth="1"/>
    <col min="16131" max="16131" width="80.85546875" customWidth="1"/>
    <col min="16132" max="16132" width="12.42578125" customWidth="1"/>
    <col min="16133" max="16133" width="11.28515625" customWidth="1"/>
    <col min="16134" max="16134" width="13.42578125" customWidth="1"/>
    <col min="16135" max="16382" width="9.140625" customWidth="1"/>
    <col min="16383" max="16383" width="4.7109375" customWidth="1"/>
  </cols>
  <sheetData>
    <row r="1" spans="1:9" ht="21">
      <c r="A1" s="1" t="s">
        <v>0</v>
      </c>
      <c r="B1" s="1"/>
      <c r="F1" s="2" t="s">
        <v>552</v>
      </c>
      <c r="I1" s="3"/>
    </row>
    <row r="3" spans="1:9" ht="15.75">
      <c r="A3" s="287" t="s">
        <v>275</v>
      </c>
      <c r="B3" s="4"/>
      <c r="D3" s="85"/>
      <c r="E3" s="86" t="s">
        <v>2</v>
      </c>
      <c r="F3" s="86" t="s">
        <v>3</v>
      </c>
    </row>
    <row r="4" spans="1:9" ht="15.75">
      <c r="A4" s="287" t="s">
        <v>4</v>
      </c>
      <c r="B4" s="4"/>
      <c r="D4" s="85" t="s">
        <v>5</v>
      </c>
      <c r="E4" s="85"/>
      <c r="F4" s="85"/>
    </row>
    <row r="5" spans="1:9">
      <c r="A5" s="287"/>
      <c r="B5" s="7"/>
      <c r="D5" s="85" t="s">
        <v>6</v>
      </c>
      <c r="E5" s="85"/>
      <c r="F5" s="85"/>
    </row>
    <row r="6" spans="1:9">
      <c r="A6" s="287"/>
      <c r="B6" s="7"/>
      <c r="D6" s="8"/>
    </row>
    <row r="7" spans="1:9" ht="15.75">
      <c r="A7" s="287" t="s">
        <v>577</v>
      </c>
      <c r="B7" s="4"/>
    </row>
    <row r="9" spans="1:9">
      <c r="A9" s="9"/>
      <c r="B9" s="9"/>
    </row>
    <row r="10" spans="1:9">
      <c r="A10" s="9"/>
      <c r="B10" s="9"/>
    </row>
    <row r="11" spans="1:9">
      <c r="A11" s="9"/>
      <c r="B11" s="9"/>
    </row>
    <row r="12" spans="1:9">
      <c r="A12" s="9"/>
      <c r="B12" s="9"/>
    </row>
    <row r="13" spans="1:9">
      <c r="A13" s="9"/>
      <c r="B13" s="9"/>
    </row>
    <row r="14" spans="1:9">
      <c r="A14" s="9"/>
      <c r="B14" s="9"/>
    </row>
    <row r="15" spans="1:9">
      <c r="A15" s="9"/>
      <c r="B15" s="9"/>
    </row>
    <row r="16" spans="1:9">
      <c r="A16" s="9"/>
      <c r="B16" s="9"/>
    </row>
    <row r="17" spans="1:6">
      <c r="A17" s="9"/>
      <c r="B17" s="9"/>
    </row>
    <row r="18" spans="1:6">
      <c r="A18" s="9"/>
      <c r="B18" s="9"/>
    </row>
    <row r="19" spans="1:6">
      <c r="A19" s="9"/>
      <c r="B19" s="9"/>
    </row>
    <row r="20" spans="1:6">
      <c r="A20" s="9"/>
      <c r="B20" s="9"/>
    </row>
    <row r="21" spans="1:6">
      <c r="A21" s="9"/>
      <c r="B21" s="9"/>
    </row>
    <row r="22" spans="1:6">
      <c r="A22" s="9"/>
      <c r="B22" s="9"/>
    </row>
    <row r="23" spans="1:6">
      <c r="A23" s="9"/>
      <c r="B23" s="9"/>
    </row>
    <row r="24" spans="1:6">
      <c r="A24" s="9"/>
      <c r="B24" s="9"/>
    </row>
    <row r="25" spans="1:6">
      <c r="A25" s="9"/>
      <c r="B25" s="9"/>
    </row>
    <row r="26" spans="1:6">
      <c r="A26" s="9" t="s">
        <v>92</v>
      </c>
      <c r="B26" s="9"/>
      <c r="E26" s="2" t="s">
        <v>359</v>
      </c>
      <c r="F26" s="561" t="s">
        <v>353</v>
      </c>
    </row>
    <row r="27" spans="1:6">
      <c r="A27" s="22"/>
      <c r="B27" s="22"/>
      <c r="C27" s="11"/>
      <c r="E27" s="136"/>
      <c r="F27" s="136"/>
    </row>
    <row r="28" spans="1:6">
      <c r="A28" s="116">
        <v>1.1000000000000001</v>
      </c>
      <c r="B28" s="162" t="s">
        <v>501</v>
      </c>
      <c r="E28" s="123" t="s">
        <v>24</v>
      </c>
      <c r="F28" s="123" t="s">
        <v>24</v>
      </c>
    </row>
    <row r="29" spans="1:6">
      <c r="A29" s="22"/>
      <c r="B29" s="562" t="s">
        <v>415</v>
      </c>
      <c r="E29" s="98"/>
      <c r="F29" s="98"/>
    </row>
    <row r="30" spans="1:6">
      <c r="A30" s="22"/>
      <c r="B30" s="562"/>
      <c r="E30" s="98"/>
      <c r="F30" s="98"/>
    </row>
    <row r="31" spans="1:6">
      <c r="A31" s="116">
        <v>1.2</v>
      </c>
      <c r="B31" s="162" t="s">
        <v>502</v>
      </c>
      <c r="C31" s="469"/>
      <c r="E31" s="123" t="s">
        <v>24</v>
      </c>
      <c r="F31" s="123" t="s">
        <v>24</v>
      </c>
    </row>
    <row r="32" spans="1:6">
      <c r="A32" s="116"/>
      <c r="B32" s="162" t="s">
        <v>503</v>
      </c>
      <c r="C32" s="469"/>
      <c r="E32" s="98"/>
      <c r="F32" s="98"/>
    </row>
    <row r="33" spans="1:6">
      <c r="A33" s="116"/>
      <c r="B33" s="162" t="s">
        <v>504</v>
      </c>
      <c r="C33" s="469"/>
      <c r="E33" s="98"/>
      <c r="F33" s="98"/>
    </row>
    <row r="34" spans="1:6">
      <c r="A34" s="116"/>
      <c r="B34" s="562" t="s">
        <v>415</v>
      </c>
      <c r="C34" s="469"/>
      <c r="E34" s="98"/>
      <c r="F34" s="98"/>
    </row>
    <row r="35" spans="1:6">
      <c r="A35" s="116"/>
      <c r="B35" s="562"/>
      <c r="C35" s="469"/>
      <c r="E35" s="98"/>
      <c r="F35" s="98"/>
    </row>
    <row r="36" spans="1:6">
      <c r="A36" s="116">
        <v>1.3</v>
      </c>
      <c r="B36" s="162" t="s">
        <v>505</v>
      </c>
      <c r="C36" s="476"/>
      <c r="D36" s="476"/>
      <c r="E36" s="123" t="s">
        <v>24</v>
      </c>
      <c r="F36" s="123" t="s">
        <v>24</v>
      </c>
    </row>
    <row r="37" spans="1:6">
      <c r="A37" s="116"/>
      <c r="B37" s="162" t="s">
        <v>506</v>
      </c>
      <c r="C37" s="476"/>
      <c r="D37" s="476"/>
      <c r="E37" s="98"/>
      <c r="F37" s="98"/>
    </row>
    <row r="38" spans="1:6">
      <c r="A38" s="116"/>
      <c r="B38" s="162" t="s">
        <v>95</v>
      </c>
      <c r="C38" s="476"/>
      <c r="D38" s="476"/>
      <c r="E38" s="98"/>
      <c r="F38" s="98"/>
    </row>
    <row r="39" spans="1:6">
      <c r="A39" s="22"/>
      <c r="B39" s="162" t="s">
        <v>507</v>
      </c>
      <c r="D39" s="162"/>
      <c r="E39" s="98"/>
      <c r="F39" s="98"/>
    </row>
    <row r="40" spans="1:6">
      <c r="A40" s="22"/>
      <c r="B40" s="22"/>
      <c r="C40" s="162"/>
      <c r="D40" s="162"/>
      <c r="F40" s="98"/>
    </row>
    <row r="41" spans="1:6">
      <c r="A41" s="9" t="s">
        <v>8</v>
      </c>
      <c r="B41" s="9"/>
    </row>
    <row r="42" spans="1:6">
      <c r="A42" s="12"/>
      <c r="B42" s="12"/>
    </row>
    <row r="43" spans="1:6" ht="15" customHeight="1">
      <c r="B43" s="580" t="s">
        <v>9</v>
      </c>
      <c r="C43" s="580" t="s">
        <v>10</v>
      </c>
      <c r="D43" s="580" t="s">
        <v>11</v>
      </c>
      <c r="E43" s="581" t="s">
        <v>12</v>
      </c>
      <c r="F43" s="281" t="s">
        <v>13</v>
      </c>
    </row>
    <row r="44" spans="1:6" ht="9.9499999999999993" customHeight="1">
      <c r="B44" s="286"/>
      <c r="C44" s="286"/>
      <c r="D44" s="286"/>
      <c r="E44" s="304"/>
      <c r="F44" s="286"/>
    </row>
    <row r="45" spans="1:6" s="95" customFormat="1" ht="15" customHeight="1">
      <c r="B45" s="289">
        <v>1</v>
      </c>
      <c r="C45" s="288" t="s">
        <v>80</v>
      </c>
      <c r="D45" s="320"/>
      <c r="E45" s="293"/>
      <c r="F45" s="289"/>
    </row>
    <row r="46" spans="1:6" s="95" customFormat="1" ht="15" customHeight="1">
      <c r="B46" s="289">
        <v>2</v>
      </c>
      <c r="C46" s="288" t="s">
        <v>17</v>
      </c>
      <c r="D46" s="320"/>
      <c r="E46" s="293"/>
      <c r="F46" s="289"/>
    </row>
    <row r="47" spans="1:6" s="95" customFormat="1" ht="15" customHeight="1">
      <c r="B47" s="289">
        <v>3</v>
      </c>
      <c r="C47" s="288" t="s">
        <v>16</v>
      </c>
      <c r="D47" s="320"/>
      <c r="E47" s="293"/>
      <c r="F47" s="289"/>
    </row>
    <row r="48" spans="1:6" s="95" customFormat="1" ht="9.9499999999999993" customHeight="1">
      <c r="B48" s="271"/>
      <c r="C48" s="312"/>
      <c r="D48" s="313"/>
      <c r="E48" s="314"/>
      <c r="F48" s="451"/>
    </row>
    <row r="49" spans="1:6" s="95" customFormat="1" ht="15" customHeight="1">
      <c r="B49" s="316"/>
      <c r="C49" s="317" t="s">
        <v>14</v>
      </c>
      <c r="D49" s="318"/>
      <c r="E49" s="319"/>
      <c r="F49" s="578"/>
    </row>
    <row r="50" spans="1:6" s="95" customFormat="1" ht="12.75"/>
    <row r="51" spans="1:6" s="95" customFormat="1" ht="12.75">
      <c r="A51" s="9" t="s">
        <v>15</v>
      </c>
      <c r="B51" s="9"/>
    </row>
    <row r="52" spans="1:6" s="95" customFormat="1" ht="12.75">
      <c r="A52" s="95" t="s">
        <v>566</v>
      </c>
    </row>
  </sheetData>
  <printOptions horizontalCentered="1"/>
  <pageMargins left="0.2" right="0.2" top="0.5" bottom="0.5" header="0.3" footer="0.3"/>
  <pageSetup paperSize="9" scale="71" orientation="portrait" r:id="rId1"/>
  <drawing r:id="rId2"/>
</worksheet>
</file>

<file path=xl/worksheets/sheet11.xml><?xml version="1.0" encoding="utf-8"?>
<worksheet xmlns="http://schemas.openxmlformats.org/spreadsheetml/2006/main" xmlns:r="http://schemas.openxmlformats.org/officeDocument/2006/relationships">
  <dimension ref="A1:I54"/>
  <sheetViews>
    <sheetView view="pageBreakPreview" zoomScaleNormal="100" zoomScaleSheetLayoutView="100" workbookViewId="0">
      <selection activeCell="F2" sqref="F2"/>
    </sheetView>
  </sheetViews>
  <sheetFormatPr defaultColWidth="27.7109375" defaultRowHeight="15"/>
  <cols>
    <col min="1" max="2" width="3.7109375" customWidth="1"/>
    <col min="3" max="3" width="78" customWidth="1"/>
    <col min="4" max="4" width="12.28515625" customWidth="1"/>
    <col min="5" max="5" width="11.5703125" customWidth="1"/>
    <col min="6" max="6" width="10.5703125" customWidth="1"/>
    <col min="7" max="254" width="9.140625" customWidth="1"/>
    <col min="255" max="255" width="5.42578125" customWidth="1"/>
    <col min="257" max="258" width="3.7109375" customWidth="1"/>
    <col min="259" max="259" width="78" customWidth="1"/>
    <col min="260" max="260" width="12.28515625" customWidth="1"/>
    <col min="261" max="261" width="11.5703125" customWidth="1"/>
    <col min="262" max="262" width="10.5703125" customWidth="1"/>
    <col min="263" max="510" width="9.140625" customWidth="1"/>
    <col min="511" max="511" width="5.42578125" customWidth="1"/>
    <col min="513" max="514" width="3.7109375" customWidth="1"/>
    <col min="515" max="515" width="78" customWidth="1"/>
    <col min="516" max="516" width="12.28515625" customWidth="1"/>
    <col min="517" max="517" width="11.5703125" customWidth="1"/>
    <col min="518" max="518" width="10.5703125" customWidth="1"/>
    <col min="519" max="766" width="9.140625" customWidth="1"/>
    <col min="767" max="767" width="5.42578125" customWidth="1"/>
    <col min="769" max="770" width="3.7109375" customWidth="1"/>
    <col min="771" max="771" width="78" customWidth="1"/>
    <col min="772" max="772" width="12.28515625" customWidth="1"/>
    <col min="773" max="773" width="11.5703125" customWidth="1"/>
    <col min="774" max="774" width="10.5703125" customWidth="1"/>
    <col min="775" max="1022" width="9.140625" customWidth="1"/>
    <col min="1023" max="1023" width="5.42578125" customWidth="1"/>
    <col min="1025" max="1026" width="3.7109375" customWidth="1"/>
    <col min="1027" max="1027" width="78" customWidth="1"/>
    <col min="1028" max="1028" width="12.28515625" customWidth="1"/>
    <col min="1029" max="1029" width="11.5703125" customWidth="1"/>
    <col min="1030" max="1030" width="10.5703125" customWidth="1"/>
    <col min="1031" max="1278" width="9.140625" customWidth="1"/>
    <col min="1279" max="1279" width="5.42578125" customWidth="1"/>
    <col min="1281" max="1282" width="3.7109375" customWidth="1"/>
    <col min="1283" max="1283" width="78" customWidth="1"/>
    <col min="1284" max="1284" width="12.28515625" customWidth="1"/>
    <col min="1285" max="1285" width="11.5703125" customWidth="1"/>
    <col min="1286" max="1286" width="10.5703125" customWidth="1"/>
    <col min="1287" max="1534" width="9.140625" customWidth="1"/>
    <col min="1535" max="1535" width="5.42578125" customWidth="1"/>
    <col min="1537" max="1538" width="3.7109375" customWidth="1"/>
    <col min="1539" max="1539" width="78" customWidth="1"/>
    <col min="1540" max="1540" width="12.28515625" customWidth="1"/>
    <col min="1541" max="1541" width="11.5703125" customWidth="1"/>
    <col min="1542" max="1542" width="10.5703125" customWidth="1"/>
    <col min="1543" max="1790" width="9.140625" customWidth="1"/>
    <col min="1791" max="1791" width="5.42578125" customWidth="1"/>
    <col min="1793" max="1794" width="3.7109375" customWidth="1"/>
    <col min="1795" max="1795" width="78" customWidth="1"/>
    <col min="1796" max="1796" width="12.28515625" customWidth="1"/>
    <col min="1797" max="1797" width="11.5703125" customWidth="1"/>
    <col min="1798" max="1798" width="10.5703125" customWidth="1"/>
    <col min="1799" max="2046" width="9.140625" customWidth="1"/>
    <col min="2047" max="2047" width="5.42578125" customWidth="1"/>
    <col min="2049" max="2050" width="3.7109375" customWidth="1"/>
    <col min="2051" max="2051" width="78" customWidth="1"/>
    <col min="2052" max="2052" width="12.28515625" customWidth="1"/>
    <col min="2053" max="2053" width="11.5703125" customWidth="1"/>
    <col min="2054" max="2054" width="10.5703125" customWidth="1"/>
    <col min="2055" max="2302" width="9.140625" customWidth="1"/>
    <col min="2303" max="2303" width="5.42578125" customWidth="1"/>
    <col min="2305" max="2306" width="3.7109375" customWidth="1"/>
    <col min="2307" max="2307" width="78" customWidth="1"/>
    <col min="2308" max="2308" width="12.28515625" customWidth="1"/>
    <col min="2309" max="2309" width="11.5703125" customWidth="1"/>
    <col min="2310" max="2310" width="10.5703125" customWidth="1"/>
    <col min="2311" max="2558" width="9.140625" customWidth="1"/>
    <col min="2559" max="2559" width="5.42578125" customWidth="1"/>
    <col min="2561" max="2562" width="3.7109375" customWidth="1"/>
    <col min="2563" max="2563" width="78" customWidth="1"/>
    <col min="2564" max="2564" width="12.28515625" customWidth="1"/>
    <col min="2565" max="2565" width="11.5703125" customWidth="1"/>
    <col min="2566" max="2566" width="10.5703125" customWidth="1"/>
    <col min="2567" max="2814" width="9.140625" customWidth="1"/>
    <col min="2815" max="2815" width="5.42578125" customWidth="1"/>
    <col min="2817" max="2818" width="3.7109375" customWidth="1"/>
    <col min="2819" max="2819" width="78" customWidth="1"/>
    <col min="2820" max="2820" width="12.28515625" customWidth="1"/>
    <col min="2821" max="2821" width="11.5703125" customWidth="1"/>
    <col min="2822" max="2822" width="10.5703125" customWidth="1"/>
    <col min="2823" max="3070" width="9.140625" customWidth="1"/>
    <col min="3071" max="3071" width="5.42578125" customWidth="1"/>
    <col min="3073" max="3074" width="3.7109375" customWidth="1"/>
    <col min="3075" max="3075" width="78" customWidth="1"/>
    <col min="3076" max="3076" width="12.28515625" customWidth="1"/>
    <col min="3077" max="3077" width="11.5703125" customWidth="1"/>
    <col min="3078" max="3078" width="10.5703125" customWidth="1"/>
    <col min="3079" max="3326" width="9.140625" customWidth="1"/>
    <col min="3327" max="3327" width="5.42578125" customWidth="1"/>
    <col min="3329" max="3330" width="3.7109375" customWidth="1"/>
    <col min="3331" max="3331" width="78" customWidth="1"/>
    <col min="3332" max="3332" width="12.28515625" customWidth="1"/>
    <col min="3333" max="3333" width="11.5703125" customWidth="1"/>
    <col min="3334" max="3334" width="10.5703125" customWidth="1"/>
    <col min="3335" max="3582" width="9.140625" customWidth="1"/>
    <col min="3583" max="3583" width="5.42578125" customWidth="1"/>
    <col min="3585" max="3586" width="3.7109375" customWidth="1"/>
    <col min="3587" max="3587" width="78" customWidth="1"/>
    <col min="3588" max="3588" width="12.28515625" customWidth="1"/>
    <col min="3589" max="3589" width="11.5703125" customWidth="1"/>
    <col min="3590" max="3590" width="10.5703125" customWidth="1"/>
    <col min="3591" max="3838" width="9.140625" customWidth="1"/>
    <col min="3839" max="3839" width="5.42578125" customWidth="1"/>
    <col min="3841" max="3842" width="3.7109375" customWidth="1"/>
    <col min="3843" max="3843" width="78" customWidth="1"/>
    <col min="3844" max="3844" width="12.28515625" customWidth="1"/>
    <col min="3845" max="3845" width="11.5703125" customWidth="1"/>
    <col min="3846" max="3846" width="10.5703125" customWidth="1"/>
    <col min="3847" max="4094" width="9.140625" customWidth="1"/>
    <col min="4095" max="4095" width="5.42578125" customWidth="1"/>
    <col min="4097" max="4098" width="3.7109375" customWidth="1"/>
    <col min="4099" max="4099" width="78" customWidth="1"/>
    <col min="4100" max="4100" width="12.28515625" customWidth="1"/>
    <col min="4101" max="4101" width="11.5703125" customWidth="1"/>
    <col min="4102" max="4102" width="10.5703125" customWidth="1"/>
    <col min="4103" max="4350" width="9.140625" customWidth="1"/>
    <col min="4351" max="4351" width="5.42578125" customWidth="1"/>
    <col min="4353" max="4354" width="3.7109375" customWidth="1"/>
    <col min="4355" max="4355" width="78" customWidth="1"/>
    <col min="4356" max="4356" width="12.28515625" customWidth="1"/>
    <col min="4357" max="4357" width="11.5703125" customWidth="1"/>
    <col min="4358" max="4358" width="10.5703125" customWidth="1"/>
    <col min="4359" max="4606" width="9.140625" customWidth="1"/>
    <col min="4607" max="4607" width="5.42578125" customWidth="1"/>
    <col min="4609" max="4610" width="3.7109375" customWidth="1"/>
    <col min="4611" max="4611" width="78" customWidth="1"/>
    <col min="4612" max="4612" width="12.28515625" customWidth="1"/>
    <col min="4613" max="4613" width="11.5703125" customWidth="1"/>
    <col min="4614" max="4614" width="10.5703125" customWidth="1"/>
    <col min="4615" max="4862" width="9.140625" customWidth="1"/>
    <col min="4863" max="4863" width="5.42578125" customWidth="1"/>
    <col min="4865" max="4866" width="3.7109375" customWidth="1"/>
    <col min="4867" max="4867" width="78" customWidth="1"/>
    <col min="4868" max="4868" width="12.28515625" customWidth="1"/>
    <col min="4869" max="4869" width="11.5703125" customWidth="1"/>
    <col min="4870" max="4870" width="10.5703125" customWidth="1"/>
    <col min="4871" max="5118" width="9.140625" customWidth="1"/>
    <col min="5119" max="5119" width="5.42578125" customWidth="1"/>
    <col min="5121" max="5122" width="3.7109375" customWidth="1"/>
    <col min="5123" max="5123" width="78" customWidth="1"/>
    <col min="5124" max="5124" width="12.28515625" customWidth="1"/>
    <col min="5125" max="5125" width="11.5703125" customWidth="1"/>
    <col min="5126" max="5126" width="10.5703125" customWidth="1"/>
    <col min="5127" max="5374" width="9.140625" customWidth="1"/>
    <col min="5375" max="5375" width="5.42578125" customWidth="1"/>
    <col min="5377" max="5378" width="3.7109375" customWidth="1"/>
    <col min="5379" max="5379" width="78" customWidth="1"/>
    <col min="5380" max="5380" width="12.28515625" customWidth="1"/>
    <col min="5381" max="5381" width="11.5703125" customWidth="1"/>
    <col min="5382" max="5382" width="10.5703125" customWidth="1"/>
    <col min="5383" max="5630" width="9.140625" customWidth="1"/>
    <col min="5631" max="5631" width="5.42578125" customWidth="1"/>
    <col min="5633" max="5634" width="3.7109375" customWidth="1"/>
    <col min="5635" max="5635" width="78" customWidth="1"/>
    <col min="5636" max="5636" width="12.28515625" customWidth="1"/>
    <col min="5637" max="5637" width="11.5703125" customWidth="1"/>
    <col min="5638" max="5638" width="10.5703125" customWidth="1"/>
    <col min="5639" max="5886" width="9.140625" customWidth="1"/>
    <col min="5887" max="5887" width="5.42578125" customWidth="1"/>
    <col min="5889" max="5890" width="3.7109375" customWidth="1"/>
    <col min="5891" max="5891" width="78" customWidth="1"/>
    <col min="5892" max="5892" width="12.28515625" customWidth="1"/>
    <col min="5893" max="5893" width="11.5703125" customWidth="1"/>
    <col min="5894" max="5894" width="10.5703125" customWidth="1"/>
    <col min="5895" max="6142" width="9.140625" customWidth="1"/>
    <col min="6143" max="6143" width="5.42578125" customWidth="1"/>
    <col min="6145" max="6146" width="3.7109375" customWidth="1"/>
    <col min="6147" max="6147" width="78" customWidth="1"/>
    <col min="6148" max="6148" width="12.28515625" customWidth="1"/>
    <col min="6149" max="6149" width="11.5703125" customWidth="1"/>
    <col min="6150" max="6150" width="10.5703125" customWidth="1"/>
    <col min="6151" max="6398" width="9.140625" customWidth="1"/>
    <col min="6399" max="6399" width="5.42578125" customWidth="1"/>
    <col min="6401" max="6402" width="3.7109375" customWidth="1"/>
    <col min="6403" max="6403" width="78" customWidth="1"/>
    <col min="6404" max="6404" width="12.28515625" customWidth="1"/>
    <col min="6405" max="6405" width="11.5703125" customWidth="1"/>
    <col min="6406" max="6406" width="10.5703125" customWidth="1"/>
    <col min="6407" max="6654" width="9.140625" customWidth="1"/>
    <col min="6655" max="6655" width="5.42578125" customWidth="1"/>
    <col min="6657" max="6658" width="3.7109375" customWidth="1"/>
    <col min="6659" max="6659" width="78" customWidth="1"/>
    <col min="6660" max="6660" width="12.28515625" customWidth="1"/>
    <col min="6661" max="6661" width="11.5703125" customWidth="1"/>
    <col min="6662" max="6662" width="10.5703125" customWidth="1"/>
    <col min="6663" max="6910" width="9.140625" customWidth="1"/>
    <col min="6911" max="6911" width="5.42578125" customWidth="1"/>
    <col min="6913" max="6914" width="3.7109375" customWidth="1"/>
    <col min="6915" max="6915" width="78" customWidth="1"/>
    <col min="6916" max="6916" width="12.28515625" customWidth="1"/>
    <col min="6917" max="6917" width="11.5703125" customWidth="1"/>
    <col min="6918" max="6918" width="10.5703125" customWidth="1"/>
    <col min="6919" max="7166" width="9.140625" customWidth="1"/>
    <col min="7167" max="7167" width="5.42578125" customWidth="1"/>
    <col min="7169" max="7170" width="3.7109375" customWidth="1"/>
    <col min="7171" max="7171" width="78" customWidth="1"/>
    <col min="7172" max="7172" width="12.28515625" customWidth="1"/>
    <col min="7173" max="7173" width="11.5703125" customWidth="1"/>
    <col min="7174" max="7174" width="10.5703125" customWidth="1"/>
    <col min="7175" max="7422" width="9.140625" customWidth="1"/>
    <col min="7423" max="7423" width="5.42578125" customWidth="1"/>
    <col min="7425" max="7426" width="3.7109375" customWidth="1"/>
    <col min="7427" max="7427" width="78" customWidth="1"/>
    <col min="7428" max="7428" width="12.28515625" customWidth="1"/>
    <col min="7429" max="7429" width="11.5703125" customWidth="1"/>
    <col min="7430" max="7430" width="10.5703125" customWidth="1"/>
    <col min="7431" max="7678" width="9.140625" customWidth="1"/>
    <col min="7679" max="7679" width="5.42578125" customWidth="1"/>
    <col min="7681" max="7682" width="3.7109375" customWidth="1"/>
    <col min="7683" max="7683" width="78" customWidth="1"/>
    <col min="7684" max="7684" width="12.28515625" customWidth="1"/>
    <col min="7685" max="7685" width="11.5703125" customWidth="1"/>
    <col min="7686" max="7686" width="10.5703125" customWidth="1"/>
    <col min="7687" max="7934" width="9.140625" customWidth="1"/>
    <col min="7935" max="7935" width="5.42578125" customWidth="1"/>
    <col min="7937" max="7938" width="3.7109375" customWidth="1"/>
    <col min="7939" max="7939" width="78" customWidth="1"/>
    <col min="7940" max="7940" width="12.28515625" customWidth="1"/>
    <col min="7941" max="7941" width="11.5703125" customWidth="1"/>
    <col min="7942" max="7942" width="10.5703125" customWidth="1"/>
    <col min="7943" max="8190" width="9.140625" customWidth="1"/>
    <col min="8191" max="8191" width="5.42578125" customWidth="1"/>
    <col min="8193" max="8194" width="3.7109375" customWidth="1"/>
    <col min="8195" max="8195" width="78" customWidth="1"/>
    <col min="8196" max="8196" width="12.28515625" customWidth="1"/>
    <col min="8197" max="8197" width="11.5703125" customWidth="1"/>
    <col min="8198" max="8198" width="10.5703125" customWidth="1"/>
    <col min="8199" max="8446" width="9.140625" customWidth="1"/>
    <col min="8447" max="8447" width="5.42578125" customWidth="1"/>
    <col min="8449" max="8450" width="3.7109375" customWidth="1"/>
    <col min="8451" max="8451" width="78" customWidth="1"/>
    <col min="8452" max="8452" width="12.28515625" customWidth="1"/>
    <col min="8453" max="8453" width="11.5703125" customWidth="1"/>
    <col min="8454" max="8454" width="10.5703125" customWidth="1"/>
    <col min="8455" max="8702" width="9.140625" customWidth="1"/>
    <col min="8703" max="8703" width="5.42578125" customWidth="1"/>
    <col min="8705" max="8706" width="3.7109375" customWidth="1"/>
    <col min="8707" max="8707" width="78" customWidth="1"/>
    <col min="8708" max="8708" width="12.28515625" customWidth="1"/>
    <col min="8709" max="8709" width="11.5703125" customWidth="1"/>
    <col min="8710" max="8710" width="10.5703125" customWidth="1"/>
    <col min="8711" max="8958" width="9.140625" customWidth="1"/>
    <col min="8959" max="8959" width="5.42578125" customWidth="1"/>
    <col min="8961" max="8962" width="3.7109375" customWidth="1"/>
    <col min="8963" max="8963" width="78" customWidth="1"/>
    <col min="8964" max="8964" width="12.28515625" customWidth="1"/>
    <col min="8965" max="8965" width="11.5703125" customWidth="1"/>
    <col min="8966" max="8966" width="10.5703125" customWidth="1"/>
    <col min="8967" max="9214" width="9.140625" customWidth="1"/>
    <col min="9215" max="9215" width="5.42578125" customWidth="1"/>
    <col min="9217" max="9218" width="3.7109375" customWidth="1"/>
    <col min="9219" max="9219" width="78" customWidth="1"/>
    <col min="9220" max="9220" width="12.28515625" customWidth="1"/>
    <col min="9221" max="9221" width="11.5703125" customWidth="1"/>
    <col min="9222" max="9222" width="10.5703125" customWidth="1"/>
    <col min="9223" max="9470" width="9.140625" customWidth="1"/>
    <col min="9471" max="9471" width="5.42578125" customWidth="1"/>
    <col min="9473" max="9474" width="3.7109375" customWidth="1"/>
    <col min="9475" max="9475" width="78" customWidth="1"/>
    <col min="9476" max="9476" width="12.28515625" customWidth="1"/>
    <col min="9477" max="9477" width="11.5703125" customWidth="1"/>
    <col min="9478" max="9478" width="10.5703125" customWidth="1"/>
    <col min="9479" max="9726" width="9.140625" customWidth="1"/>
    <col min="9727" max="9727" width="5.42578125" customWidth="1"/>
    <col min="9729" max="9730" width="3.7109375" customWidth="1"/>
    <col min="9731" max="9731" width="78" customWidth="1"/>
    <col min="9732" max="9732" width="12.28515625" customWidth="1"/>
    <col min="9733" max="9733" width="11.5703125" customWidth="1"/>
    <col min="9734" max="9734" width="10.5703125" customWidth="1"/>
    <col min="9735" max="9982" width="9.140625" customWidth="1"/>
    <col min="9983" max="9983" width="5.42578125" customWidth="1"/>
    <col min="9985" max="9986" width="3.7109375" customWidth="1"/>
    <col min="9987" max="9987" width="78" customWidth="1"/>
    <col min="9988" max="9988" width="12.28515625" customWidth="1"/>
    <col min="9989" max="9989" width="11.5703125" customWidth="1"/>
    <col min="9990" max="9990" width="10.5703125" customWidth="1"/>
    <col min="9991" max="10238" width="9.140625" customWidth="1"/>
    <col min="10239" max="10239" width="5.42578125" customWidth="1"/>
    <col min="10241" max="10242" width="3.7109375" customWidth="1"/>
    <col min="10243" max="10243" width="78" customWidth="1"/>
    <col min="10244" max="10244" width="12.28515625" customWidth="1"/>
    <col min="10245" max="10245" width="11.5703125" customWidth="1"/>
    <col min="10246" max="10246" width="10.5703125" customWidth="1"/>
    <col min="10247" max="10494" width="9.140625" customWidth="1"/>
    <col min="10495" max="10495" width="5.42578125" customWidth="1"/>
    <col min="10497" max="10498" width="3.7109375" customWidth="1"/>
    <col min="10499" max="10499" width="78" customWidth="1"/>
    <col min="10500" max="10500" width="12.28515625" customWidth="1"/>
    <col min="10501" max="10501" width="11.5703125" customWidth="1"/>
    <col min="10502" max="10502" width="10.5703125" customWidth="1"/>
    <col min="10503" max="10750" width="9.140625" customWidth="1"/>
    <col min="10751" max="10751" width="5.42578125" customWidth="1"/>
    <col min="10753" max="10754" width="3.7109375" customWidth="1"/>
    <col min="10755" max="10755" width="78" customWidth="1"/>
    <col min="10756" max="10756" width="12.28515625" customWidth="1"/>
    <col min="10757" max="10757" width="11.5703125" customWidth="1"/>
    <col min="10758" max="10758" width="10.5703125" customWidth="1"/>
    <col min="10759" max="11006" width="9.140625" customWidth="1"/>
    <col min="11007" max="11007" width="5.42578125" customWidth="1"/>
    <col min="11009" max="11010" width="3.7109375" customWidth="1"/>
    <col min="11011" max="11011" width="78" customWidth="1"/>
    <col min="11012" max="11012" width="12.28515625" customWidth="1"/>
    <col min="11013" max="11013" width="11.5703125" customWidth="1"/>
    <col min="11014" max="11014" width="10.5703125" customWidth="1"/>
    <col min="11015" max="11262" width="9.140625" customWidth="1"/>
    <col min="11263" max="11263" width="5.42578125" customWidth="1"/>
    <col min="11265" max="11266" width="3.7109375" customWidth="1"/>
    <col min="11267" max="11267" width="78" customWidth="1"/>
    <col min="11268" max="11268" width="12.28515625" customWidth="1"/>
    <col min="11269" max="11269" width="11.5703125" customWidth="1"/>
    <col min="11270" max="11270" width="10.5703125" customWidth="1"/>
    <col min="11271" max="11518" width="9.140625" customWidth="1"/>
    <col min="11519" max="11519" width="5.42578125" customWidth="1"/>
    <col min="11521" max="11522" width="3.7109375" customWidth="1"/>
    <col min="11523" max="11523" width="78" customWidth="1"/>
    <col min="11524" max="11524" width="12.28515625" customWidth="1"/>
    <col min="11525" max="11525" width="11.5703125" customWidth="1"/>
    <col min="11526" max="11526" width="10.5703125" customWidth="1"/>
    <col min="11527" max="11774" width="9.140625" customWidth="1"/>
    <col min="11775" max="11775" width="5.42578125" customWidth="1"/>
    <col min="11777" max="11778" width="3.7109375" customWidth="1"/>
    <col min="11779" max="11779" width="78" customWidth="1"/>
    <col min="11780" max="11780" width="12.28515625" customWidth="1"/>
    <col min="11781" max="11781" width="11.5703125" customWidth="1"/>
    <col min="11782" max="11782" width="10.5703125" customWidth="1"/>
    <col min="11783" max="12030" width="9.140625" customWidth="1"/>
    <col min="12031" max="12031" width="5.42578125" customWidth="1"/>
    <col min="12033" max="12034" width="3.7109375" customWidth="1"/>
    <col min="12035" max="12035" width="78" customWidth="1"/>
    <col min="12036" max="12036" width="12.28515625" customWidth="1"/>
    <col min="12037" max="12037" width="11.5703125" customWidth="1"/>
    <col min="12038" max="12038" width="10.5703125" customWidth="1"/>
    <col min="12039" max="12286" width="9.140625" customWidth="1"/>
    <col min="12287" max="12287" width="5.42578125" customWidth="1"/>
    <col min="12289" max="12290" width="3.7109375" customWidth="1"/>
    <col min="12291" max="12291" width="78" customWidth="1"/>
    <col min="12292" max="12292" width="12.28515625" customWidth="1"/>
    <col min="12293" max="12293" width="11.5703125" customWidth="1"/>
    <col min="12294" max="12294" width="10.5703125" customWidth="1"/>
    <col min="12295" max="12542" width="9.140625" customWidth="1"/>
    <col min="12543" max="12543" width="5.42578125" customWidth="1"/>
    <col min="12545" max="12546" width="3.7109375" customWidth="1"/>
    <col min="12547" max="12547" width="78" customWidth="1"/>
    <col min="12548" max="12548" width="12.28515625" customWidth="1"/>
    <col min="12549" max="12549" width="11.5703125" customWidth="1"/>
    <col min="12550" max="12550" width="10.5703125" customWidth="1"/>
    <col min="12551" max="12798" width="9.140625" customWidth="1"/>
    <col min="12799" max="12799" width="5.42578125" customWidth="1"/>
    <col min="12801" max="12802" width="3.7109375" customWidth="1"/>
    <col min="12803" max="12803" width="78" customWidth="1"/>
    <col min="12804" max="12804" width="12.28515625" customWidth="1"/>
    <col min="12805" max="12805" width="11.5703125" customWidth="1"/>
    <col min="12806" max="12806" width="10.5703125" customWidth="1"/>
    <col min="12807" max="13054" width="9.140625" customWidth="1"/>
    <col min="13055" max="13055" width="5.42578125" customWidth="1"/>
    <col min="13057" max="13058" width="3.7109375" customWidth="1"/>
    <col min="13059" max="13059" width="78" customWidth="1"/>
    <col min="13060" max="13060" width="12.28515625" customWidth="1"/>
    <col min="13061" max="13061" width="11.5703125" customWidth="1"/>
    <col min="13062" max="13062" width="10.5703125" customWidth="1"/>
    <col min="13063" max="13310" width="9.140625" customWidth="1"/>
    <col min="13311" max="13311" width="5.42578125" customWidth="1"/>
    <col min="13313" max="13314" width="3.7109375" customWidth="1"/>
    <col min="13315" max="13315" width="78" customWidth="1"/>
    <col min="13316" max="13316" width="12.28515625" customWidth="1"/>
    <col min="13317" max="13317" width="11.5703125" customWidth="1"/>
    <col min="13318" max="13318" width="10.5703125" customWidth="1"/>
    <col min="13319" max="13566" width="9.140625" customWidth="1"/>
    <col min="13567" max="13567" width="5.42578125" customWidth="1"/>
    <col min="13569" max="13570" width="3.7109375" customWidth="1"/>
    <col min="13571" max="13571" width="78" customWidth="1"/>
    <col min="13572" max="13572" width="12.28515625" customWidth="1"/>
    <col min="13573" max="13573" width="11.5703125" customWidth="1"/>
    <col min="13574" max="13574" width="10.5703125" customWidth="1"/>
    <col min="13575" max="13822" width="9.140625" customWidth="1"/>
    <col min="13823" max="13823" width="5.42578125" customWidth="1"/>
    <col min="13825" max="13826" width="3.7109375" customWidth="1"/>
    <col min="13827" max="13827" width="78" customWidth="1"/>
    <col min="13828" max="13828" width="12.28515625" customWidth="1"/>
    <col min="13829" max="13829" width="11.5703125" customWidth="1"/>
    <col min="13830" max="13830" width="10.5703125" customWidth="1"/>
    <col min="13831" max="14078" width="9.140625" customWidth="1"/>
    <col min="14079" max="14079" width="5.42578125" customWidth="1"/>
    <col min="14081" max="14082" width="3.7109375" customWidth="1"/>
    <col min="14083" max="14083" width="78" customWidth="1"/>
    <col min="14084" max="14084" width="12.28515625" customWidth="1"/>
    <col min="14085" max="14085" width="11.5703125" customWidth="1"/>
    <col min="14086" max="14086" width="10.5703125" customWidth="1"/>
    <col min="14087" max="14334" width="9.140625" customWidth="1"/>
    <col min="14335" max="14335" width="5.42578125" customWidth="1"/>
    <col min="14337" max="14338" width="3.7109375" customWidth="1"/>
    <col min="14339" max="14339" width="78" customWidth="1"/>
    <col min="14340" max="14340" width="12.28515625" customWidth="1"/>
    <col min="14341" max="14341" width="11.5703125" customWidth="1"/>
    <col min="14342" max="14342" width="10.5703125" customWidth="1"/>
    <col min="14343" max="14590" width="9.140625" customWidth="1"/>
    <col min="14591" max="14591" width="5.42578125" customWidth="1"/>
    <col min="14593" max="14594" width="3.7109375" customWidth="1"/>
    <col min="14595" max="14595" width="78" customWidth="1"/>
    <col min="14596" max="14596" width="12.28515625" customWidth="1"/>
    <col min="14597" max="14597" width="11.5703125" customWidth="1"/>
    <col min="14598" max="14598" width="10.5703125" customWidth="1"/>
    <col min="14599" max="14846" width="9.140625" customWidth="1"/>
    <col min="14847" max="14847" width="5.42578125" customWidth="1"/>
    <col min="14849" max="14850" width="3.7109375" customWidth="1"/>
    <col min="14851" max="14851" width="78" customWidth="1"/>
    <col min="14852" max="14852" width="12.28515625" customWidth="1"/>
    <col min="14853" max="14853" width="11.5703125" customWidth="1"/>
    <col min="14854" max="14854" width="10.5703125" customWidth="1"/>
    <col min="14855" max="15102" width="9.140625" customWidth="1"/>
    <col min="15103" max="15103" width="5.42578125" customWidth="1"/>
    <col min="15105" max="15106" width="3.7109375" customWidth="1"/>
    <col min="15107" max="15107" width="78" customWidth="1"/>
    <col min="15108" max="15108" width="12.28515625" customWidth="1"/>
    <col min="15109" max="15109" width="11.5703125" customWidth="1"/>
    <col min="15110" max="15110" width="10.5703125" customWidth="1"/>
    <col min="15111" max="15358" width="9.140625" customWidth="1"/>
    <col min="15359" max="15359" width="5.42578125" customWidth="1"/>
    <col min="15361" max="15362" width="3.7109375" customWidth="1"/>
    <col min="15363" max="15363" width="78" customWidth="1"/>
    <col min="15364" max="15364" width="12.28515625" customWidth="1"/>
    <col min="15365" max="15365" width="11.5703125" customWidth="1"/>
    <col min="15366" max="15366" width="10.5703125" customWidth="1"/>
    <col min="15367" max="15614" width="9.140625" customWidth="1"/>
    <col min="15615" max="15615" width="5.42578125" customWidth="1"/>
    <col min="15617" max="15618" width="3.7109375" customWidth="1"/>
    <col min="15619" max="15619" width="78" customWidth="1"/>
    <col min="15620" max="15620" width="12.28515625" customWidth="1"/>
    <col min="15621" max="15621" width="11.5703125" customWidth="1"/>
    <col min="15622" max="15622" width="10.5703125" customWidth="1"/>
    <col min="15623" max="15870" width="9.140625" customWidth="1"/>
    <col min="15871" max="15871" width="5.42578125" customWidth="1"/>
    <col min="15873" max="15874" width="3.7109375" customWidth="1"/>
    <col min="15875" max="15875" width="78" customWidth="1"/>
    <col min="15876" max="15876" width="12.28515625" customWidth="1"/>
    <col min="15877" max="15877" width="11.5703125" customWidth="1"/>
    <col min="15878" max="15878" width="10.5703125" customWidth="1"/>
    <col min="15879" max="16126" width="9.140625" customWidth="1"/>
    <col min="16127" max="16127" width="5.42578125" customWidth="1"/>
    <col min="16129" max="16130" width="3.7109375" customWidth="1"/>
    <col min="16131" max="16131" width="78" customWidth="1"/>
    <col min="16132" max="16132" width="12.28515625" customWidth="1"/>
    <col min="16133" max="16133" width="11.5703125" customWidth="1"/>
    <col min="16134" max="16134" width="10.5703125" customWidth="1"/>
    <col min="16135" max="16382" width="9.140625" customWidth="1"/>
    <col min="16383" max="16383" width="5.42578125" customWidth="1"/>
  </cols>
  <sheetData>
    <row r="1" spans="1:9" ht="21">
      <c r="A1" s="1" t="s">
        <v>0</v>
      </c>
      <c r="B1" s="1"/>
      <c r="F1" s="2" t="s">
        <v>621</v>
      </c>
      <c r="I1" s="3"/>
    </row>
    <row r="3" spans="1:9" ht="15.75">
      <c r="A3" s="287" t="s">
        <v>275</v>
      </c>
      <c r="B3" s="4"/>
      <c r="D3" s="85"/>
      <c r="E3" s="86" t="s">
        <v>2</v>
      </c>
      <c r="F3" s="86" t="s">
        <v>3</v>
      </c>
    </row>
    <row r="4" spans="1:9" ht="15.75">
      <c r="A4" s="287" t="s">
        <v>4</v>
      </c>
      <c r="B4" s="4"/>
      <c r="D4" s="85" t="s">
        <v>5</v>
      </c>
      <c r="E4" s="85"/>
      <c r="F4" s="85"/>
    </row>
    <row r="5" spans="1:9">
      <c r="A5" s="287"/>
      <c r="B5" s="7"/>
      <c r="D5" s="85" t="s">
        <v>6</v>
      </c>
      <c r="E5" s="85"/>
      <c r="F5" s="85"/>
    </row>
    <row r="6" spans="1:9">
      <c r="A6" s="287"/>
      <c r="B6" s="7"/>
      <c r="D6" s="8"/>
    </row>
    <row r="7" spans="1:9" ht="15.75">
      <c r="A7" s="287" t="s">
        <v>578</v>
      </c>
      <c r="B7" s="4"/>
    </row>
    <row r="20" spans="1:8">
      <c r="A20" s="9" t="s">
        <v>92</v>
      </c>
      <c r="B20" s="9"/>
      <c r="E20" s="2" t="s">
        <v>359</v>
      </c>
      <c r="F20" s="561" t="s">
        <v>353</v>
      </c>
    </row>
    <row r="21" spans="1:8">
      <c r="A21" s="10"/>
      <c r="B21" s="10"/>
      <c r="C21" s="11"/>
    </row>
    <row r="22" spans="1:8">
      <c r="A22" s="10"/>
      <c r="B22" s="10"/>
      <c r="C22" s="11"/>
    </row>
    <row r="23" spans="1:8" s="606" customFormat="1">
      <c r="A23" s="603">
        <v>1.1000000000000001</v>
      </c>
      <c r="B23" s="604" t="s">
        <v>543</v>
      </c>
      <c r="C23" s="605"/>
    </row>
    <row r="24" spans="1:8" s="606" customFormat="1">
      <c r="A24" s="607"/>
      <c r="B24" s="607" t="s">
        <v>544</v>
      </c>
      <c r="C24" s="605"/>
    </row>
    <row r="25" spans="1:8">
      <c r="A25" s="10"/>
      <c r="B25" s="10"/>
      <c r="C25" s="11"/>
    </row>
    <row r="26" spans="1:8">
      <c r="A26" s="116">
        <v>1.2</v>
      </c>
      <c r="B26" s="162" t="s">
        <v>421</v>
      </c>
      <c r="E26" s="123" t="s">
        <v>24</v>
      </c>
      <c r="F26" s="123" t="s">
        <v>24</v>
      </c>
    </row>
    <row r="27" spans="1:8">
      <c r="A27" s="116"/>
      <c r="B27" s="23" t="s">
        <v>274</v>
      </c>
      <c r="E27" s="98"/>
      <c r="F27" s="98"/>
    </row>
    <row r="28" spans="1:8">
      <c r="A28" s="116"/>
      <c r="B28" s="23" t="s">
        <v>422</v>
      </c>
      <c r="E28" s="98"/>
      <c r="F28" s="98"/>
    </row>
    <row r="29" spans="1:8">
      <c r="A29" s="116"/>
      <c r="B29" s="23" t="s">
        <v>423</v>
      </c>
      <c r="E29" s="98"/>
      <c r="F29" s="98"/>
    </row>
    <row r="30" spans="1:8" s="95" customFormat="1" ht="15" customHeight="1">
      <c r="A30" s="244"/>
      <c r="B30" s="562" t="s">
        <v>415</v>
      </c>
      <c r="G30" s="123"/>
      <c r="H30" s="123"/>
    </row>
    <row r="31" spans="1:8">
      <c r="B31" s="162"/>
      <c r="E31" s="98"/>
      <c r="F31" s="98"/>
    </row>
    <row r="32" spans="1:8">
      <c r="A32" s="116">
        <v>1.3</v>
      </c>
      <c r="B32" s="162" t="s">
        <v>424</v>
      </c>
      <c r="E32" s="123" t="s">
        <v>24</v>
      </c>
      <c r="F32" s="123" t="s">
        <v>24</v>
      </c>
    </row>
    <row r="33" spans="1:6">
      <c r="B33" s="171" t="s">
        <v>425</v>
      </c>
      <c r="F33" s="98"/>
    </row>
    <row r="34" spans="1:6">
      <c r="B34" s="162" t="s">
        <v>545</v>
      </c>
      <c r="F34" s="98"/>
    </row>
    <row r="35" spans="1:6">
      <c r="B35" s="162" t="s">
        <v>426</v>
      </c>
      <c r="F35" s="98"/>
    </row>
    <row r="36" spans="1:6">
      <c r="B36" s="562" t="s">
        <v>415</v>
      </c>
      <c r="C36" s="162"/>
    </row>
    <row r="37" spans="1:6">
      <c r="B37" s="562"/>
      <c r="C37" s="162"/>
    </row>
    <row r="38" spans="1:6">
      <c r="A38" s="9" t="s">
        <v>8</v>
      </c>
      <c r="B38" s="9"/>
    </row>
    <row r="39" spans="1:6">
      <c r="A39" s="12"/>
      <c r="B39" s="12"/>
    </row>
    <row r="40" spans="1:6">
      <c r="B40" s="580" t="s">
        <v>9</v>
      </c>
      <c r="C40" s="580" t="s">
        <v>10</v>
      </c>
      <c r="D40" s="580" t="s">
        <v>11</v>
      </c>
      <c r="E40" s="581" t="s">
        <v>12</v>
      </c>
      <c r="F40" s="281" t="s">
        <v>13</v>
      </c>
    </row>
    <row r="41" spans="1:6" ht="9.9499999999999993" customHeight="1">
      <c r="B41" s="286"/>
      <c r="C41" s="286"/>
      <c r="D41" s="286"/>
      <c r="E41" s="304"/>
      <c r="F41" s="286"/>
    </row>
    <row r="42" spans="1:6" s="95" customFormat="1" ht="12.75">
      <c r="B42" s="579">
        <v>1</v>
      </c>
      <c r="C42" s="309" t="s">
        <v>96</v>
      </c>
      <c r="D42" s="310">
        <v>0</v>
      </c>
      <c r="E42" s="311"/>
      <c r="F42" s="290"/>
    </row>
    <row r="43" spans="1:6" s="95" customFormat="1" ht="9.9499999999999993" customHeight="1">
      <c r="B43" s="271"/>
      <c r="C43" s="312"/>
      <c r="D43" s="313"/>
      <c r="E43" s="314"/>
      <c r="F43" s="451"/>
    </row>
    <row r="44" spans="1:6">
      <c r="B44" s="321"/>
      <c r="C44" s="322" t="s">
        <v>14</v>
      </c>
      <c r="D44" s="323">
        <f>SUM(D42)</f>
        <v>0</v>
      </c>
      <c r="E44" s="261"/>
      <c r="F44" s="260"/>
    </row>
    <row r="46" spans="1:6">
      <c r="A46" s="9" t="s">
        <v>15</v>
      </c>
      <c r="B46" s="9"/>
    </row>
    <row r="47" spans="1:6" s="95" customFormat="1" ht="12.75">
      <c r="A47" s="95" t="s">
        <v>579</v>
      </c>
    </row>
    <row r="48" spans="1:6">
      <c r="A48" s="20"/>
      <c r="B48" s="20"/>
      <c r="C48" s="20"/>
    </row>
    <row r="49" spans="1:3">
      <c r="A49" s="20"/>
      <c r="B49" s="20"/>
      <c r="C49" s="20"/>
    </row>
    <row r="50" spans="1:3">
      <c r="A50" s="20"/>
      <c r="B50" s="20"/>
      <c r="C50" s="20"/>
    </row>
    <row r="51" spans="1:3">
      <c r="A51" s="20"/>
      <c r="B51" s="20"/>
      <c r="C51" s="20"/>
    </row>
    <row r="52" spans="1:3">
      <c r="A52" s="20"/>
      <c r="B52" s="20"/>
      <c r="C52" s="20"/>
    </row>
    <row r="53" spans="1:3">
      <c r="A53" s="20"/>
      <c r="B53" s="20"/>
      <c r="C53" s="20"/>
    </row>
    <row r="54" spans="1:3">
      <c r="A54" s="20"/>
      <c r="B54" s="20"/>
      <c r="C54" s="20"/>
    </row>
  </sheetData>
  <printOptions horizontalCentered="1"/>
  <pageMargins left="0.2" right="0.2" top="0.5" bottom="0.5" header="0.3" footer="0.3"/>
  <pageSetup paperSize="9" scale="83" orientation="portrait" r:id="rId1"/>
  <drawing r:id="rId2"/>
</worksheet>
</file>

<file path=xl/worksheets/sheet12.xml><?xml version="1.0" encoding="utf-8"?>
<worksheet xmlns="http://schemas.openxmlformats.org/spreadsheetml/2006/main" xmlns:r="http://schemas.openxmlformats.org/officeDocument/2006/relationships">
  <sheetPr>
    <tabColor rgb="FF00B050"/>
  </sheetPr>
  <dimension ref="A1:I42"/>
  <sheetViews>
    <sheetView view="pageBreakPreview" zoomScaleNormal="100" zoomScaleSheetLayoutView="100" workbookViewId="0">
      <selection activeCell="D4" sqref="D4"/>
    </sheetView>
  </sheetViews>
  <sheetFormatPr defaultRowHeight="15"/>
  <cols>
    <col min="1" max="2" width="3.7109375" customWidth="1"/>
    <col min="3" max="3" width="73.5703125" customWidth="1"/>
    <col min="4" max="4" width="13.7109375" customWidth="1"/>
    <col min="5" max="5" width="11.5703125" customWidth="1"/>
    <col min="6" max="6" width="11.42578125" customWidth="1"/>
    <col min="7" max="7" width="12.140625" bestFit="1" customWidth="1"/>
  </cols>
  <sheetData>
    <row r="1" spans="1:9" ht="21">
      <c r="A1" s="1" t="s">
        <v>0</v>
      </c>
      <c r="B1" s="1"/>
      <c r="F1" s="2" t="s">
        <v>553</v>
      </c>
      <c r="I1" s="3"/>
    </row>
    <row r="3" spans="1:9" ht="15.75">
      <c r="A3" s="287" t="s">
        <v>295</v>
      </c>
      <c r="B3" s="4"/>
      <c r="D3" s="85"/>
      <c r="E3" s="86" t="s">
        <v>2</v>
      </c>
      <c r="F3" s="86" t="s">
        <v>3</v>
      </c>
    </row>
    <row r="4" spans="1:9" ht="15.75">
      <c r="A4" s="287" t="s">
        <v>21</v>
      </c>
      <c r="B4" s="4"/>
      <c r="D4" s="85" t="s">
        <v>5</v>
      </c>
      <c r="E4" s="85"/>
      <c r="F4" s="85"/>
    </row>
    <row r="5" spans="1:9">
      <c r="A5" s="287"/>
      <c r="B5" s="7"/>
      <c r="D5" s="85" t="s">
        <v>6</v>
      </c>
      <c r="E5" s="85"/>
      <c r="F5" s="85"/>
    </row>
    <row r="6" spans="1:9">
      <c r="A6" s="287"/>
      <c r="B6" s="7"/>
      <c r="D6" s="8"/>
    </row>
    <row r="7" spans="1:9" ht="15.75">
      <c r="A7" s="287" t="s">
        <v>627</v>
      </c>
      <c r="B7" s="4"/>
    </row>
    <row r="17" spans="1:6">
      <c r="A17" s="46"/>
      <c r="B17" s="560"/>
    </row>
    <row r="18" spans="1:6">
      <c r="A18" s="9" t="s">
        <v>633</v>
      </c>
      <c r="B18" s="9"/>
    </row>
    <row r="19" spans="1:6">
      <c r="A19" s="9"/>
      <c r="B19" s="9"/>
    </row>
    <row r="20" spans="1:6">
      <c r="B20" s="586" t="s">
        <v>9</v>
      </c>
      <c r="C20" s="586" t="s">
        <v>10</v>
      </c>
      <c r="D20" s="586" t="s">
        <v>11</v>
      </c>
      <c r="E20" s="587" t="s">
        <v>25</v>
      </c>
      <c r="F20" s="281" t="s">
        <v>13</v>
      </c>
    </row>
    <row r="21" spans="1:6" s="95" customFormat="1" ht="12.75">
      <c r="B21" s="94">
        <v>1</v>
      </c>
      <c r="C21" s="124" t="s">
        <v>623</v>
      </c>
      <c r="D21" s="125">
        <f>B4.9.1!D26</f>
        <v>0</v>
      </c>
      <c r="E21" s="94" t="s">
        <v>610</v>
      </c>
      <c r="F21" s="588"/>
    </row>
    <row r="22" spans="1:6" s="95" customFormat="1" ht="12.75">
      <c r="B22" s="94">
        <v>2</v>
      </c>
      <c r="C22" s="124" t="s">
        <v>622</v>
      </c>
      <c r="D22" s="125">
        <f>B4.9.2!D57</f>
        <v>0</v>
      </c>
      <c r="E22" s="94" t="s">
        <v>611</v>
      </c>
      <c r="F22" s="588"/>
    </row>
    <row r="23" spans="1:6" s="95" customFormat="1" ht="12.75">
      <c r="B23" s="94">
        <v>3</v>
      </c>
      <c r="C23" s="124" t="s">
        <v>624</v>
      </c>
      <c r="D23" s="125">
        <f>B4.9.3!C83</f>
        <v>0</v>
      </c>
      <c r="E23" s="94" t="s">
        <v>612</v>
      </c>
      <c r="F23" s="588"/>
    </row>
    <row r="24" spans="1:6" s="95" customFormat="1" ht="12.75">
      <c r="B24" s="94">
        <v>4</v>
      </c>
      <c r="C24" s="124" t="s">
        <v>625</v>
      </c>
      <c r="D24" s="125" t="str">
        <f>B4.9.4!C53</f>
        <v/>
      </c>
      <c r="E24" s="94" t="s">
        <v>613</v>
      </c>
      <c r="F24" s="588"/>
    </row>
    <row r="25" spans="1:6" s="95" customFormat="1" ht="12.75">
      <c r="B25" s="94">
        <v>5</v>
      </c>
      <c r="C25" s="124" t="s">
        <v>626</v>
      </c>
      <c r="D25" s="125" t="str">
        <f>B4.9.5!C44</f>
        <v/>
      </c>
      <c r="E25" s="94" t="s">
        <v>614</v>
      </c>
      <c r="F25" s="588"/>
    </row>
    <row r="26" spans="1:6">
      <c r="B26" s="437"/>
      <c r="C26" s="317" t="s">
        <v>14</v>
      </c>
      <c r="D26" s="318">
        <f>SUM(D21:D25)</f>
        <v>0</v>
      </c>
      <c r="E26" s="319"/>
      <c r="F26" s="438"/>
    </row>
    <row r="28" spans="1:6" s="95" customFormat="1" ht="12.75">
      <c r="A28" s="9" t="s">
        <v>15</v>
      </c>
      <c r="B28" s="9"/>
    </row>
    <row r="29" spans="1:6" s="95" customFormat="1" ht="12.75">
      <c r="A29" s="95" t="s">
        <v>579</v>
      </c>
    </row>
    <row r="34" spans="1:3">
      <c r="A34" s="20"/>
      <c r="B34" s="20"/>
      <c r="C34" s="20"/>
    </row>
    <row r="35" spans="1:3">
      <c r="A35" s="20"/>
      <c r="B35" s="20"/>
      <c r="C35" s="20"/>
    </row>
    <row r="36" spans="1:3">
      <c r="A36" s="20"/>
      <c r="B36" s="20"/>
      <c r="C36" s="20"/>
    </row>
    <row r="37" spans="1:3">
      <c r="A37" s="20"/>
      <c r="B37" s="20"/>
      <c r="C37" s="20"/>
    </row>
    <row r="38" spans="1:3">
      <c r="A38" s="20"/>
      <c r="B38" s="20"/>
      <c r="C38" s="20"/>
    </row>
    <row r="39" spans="1:3">
      <c r="A39" s="20"/>
      <c r="B39" s="20"/>
      <c r="C39" s="20"/>
    </row>
    <row r="40" spans="1:3">
      <c r="A40" s="20"/>
      <c r="B40" s="20"/>
      <c r="C40" s="20"/>
    </row>
    <row r="41" spans="1:3">
      <c r="A41" s="20"/>
      <c r="B41" s="20"/>
      <c r="C41" s="20"/>
    </row>
    <row r="42" spans="1:3">
      <c r="A42" s="20"/>
      <c r="B42" s="20"/>
      <c r="C42" s="20"/>
    </row>
  </sheetData>
  <printOptions horizontalCentered="1"/>
  <pageMargins left="0.2" right="0.2" top="0.5" bottom="0.5" header="0.3" footer="0.3"/>
  <pageSetup paperSize="9" scale="85" orientation="portrait" r:id="rId1"/>
  <drawing r:id="rId2"/>
</worksheet>
</file>

<file path=xl/worksheets/sheet13.xml><?xml version="1.0" encoding="utf-8"?>
<worksheet xmlns="http://schemas.openxmlformats.org/spreadsheetml/2006/main" xmlns:r="http://schemas.openxmlformats.org/officeDocument/2006/relationships">
  <dimension ref="A1:U49"/>
  <sheetViews>
    <sheetView view="pageBreakPreview" zoomScaleNormal="100" zoomScaleSheetLayoutView="100" workbookViewId="0">
      <selection activeCell="D4" sqref="D4"/>
    </sheetView>
  </sheetViews>
  <sheetFormatPr defaultRowHeight="15"/>
  <cols>
    <col min="1" max="2" width="3.7109375" style="44" customWidth="1"/>
    <col min="3" max="3" width="41.42578125" style="44" customWidth="1"/>
    <col min="4" max="4" width="16.7109375" style="44" customWidth="1"/>
    <col min="5" max="5" width="15.28515625" style="44" customWidth="1"/>
    <col min="6" max="6" width="7.5703125" style="44" customWidth="1"/>
    <col min="7" max="7" width="12.140625" style="44" bestFit="1" customWidth="1"/>
    <col min="8" max="8" width="12.28515625" style="44" customWidth="1"/>
    <col min="9" max="9" width="10.85546875" style="44" bestFit="1" customWidth="1"/>
    <col min="10" max="16384" width="9.140625" style="44"/>
  </cols>
  <sheetData>
    <row r="1" spans="1:13" s="43" customFormat="1" ht="21">
      <c r="A1" s="1" t="s">
        <v>0</v>
      </c>
      <c r="B1" s="1"/>
      <c r="C1"/>
      <c r="D1"/>
      <c r="E1" s="33"/>
      <c r="F1" s="44"/>
      <c r="G1" s="44"/>
      <c r="H1" s="87"/>
      <c r="I1" s="133" t="s">
        <v>591</v>
      </c>
    </row>
    <row r="2" spans="1:13" customFormat="1">
      <c r="A2" s="44"/>
      <c r="B2" s="44"/>
      <c r="E2" s="33"/>
      <c r="F2" s="44"/>
      <c r="G2" s="44"/>
      <c r="H2" s="33"/>
      <c r="I2" s="33"/>
      <c r="M2" s="3"/>
    </row>
    <row r="3" spans="1:13" customFormat="1">
      <c r="A3" s="287" t="s">
        <v>295</v>
      </c>
      <c r="B3" s="287"/>
      <c r="D3" s="44"/>
      <c r="E3" s="44"/>
      <c r="F3" s="44"/>
      <c r="G3" s="85"/>
      <c r="H3" s="86" t="s">
        <v>2</v>
      </c>
      <c r="I3" s="86" t="s">
        <v>3</v>
      </c>
    </row>
    <row r="4" spans="1:13" customFormat="1">
      <c r="A4" s="287" t="s">
        <v>21</v>
      </c>
      <c r="B4" s="287"/>
      <c r="D4" s="44"/>
      <c r="E4" s="44"/>
      <c r="F4" s="44"/>
      <c r="G4" s="85" t="s">
        <v>5</v>
      </c>
      <c r="H4" s="85"/>
      <c r="I4" s="85"/>
    </row>
    <row r="5" spans="1:13" customFormat="1">
      <c r="A5" s="287"/>
      <c r="B5" s="287"/>
      <c r="D5" s="44"/>
      <c r="E5" s="44"/>
      <c r="F5" s="44"/>
      <c r="G5" s="85" t="s">
        <v>6</v>
      </c>
      <c r="H5" s="85"/>
      <c r="I5" s="85"/>
    </row>
    <row r="6" spans="1:13" customFormat="1">
      <c r="A6" s="287"/>
      <c r="B6" s="287"/>
      <c r="D6" s="8"/>
      <c r="E6" s="8"/>
      <c r="F6" s="8"/>
      <c r="G6" s="44"/>
    </row>
    <row r="7" spans="1:13" customFormat="1">
      <c r="A7" s="287" t="s">
        <v>587</v>
      </c>
      <c r="B7" s="287"/>
      <c r="D7" s="8"/>
      <c r="E7" s="8"/>
      <c r="F7" s="8"/>
      <c r="G7" s="44"/>
    </row>
    <row r="8" spans="1:13" customFormat="1">
      <c r="A8" s="7"/>
      <c r="B8" s="7"/>
      <c r="D8" s="8"/>
      <c r="E8" s="8"/>
      <c r="F8" s="8"/>
      <c r="G8" s="44"/>
    </row>
    <row r="9" spans="1:13" customFormat="1">
      <c r="A9" s="7"/>
      <c r="B9" s="7"/>
      <c r="D9" s="8"/>
      <c r="E9" s="8"/>
      <c r="F9" s="8"/>
      <c r="G9" s="44"/>
    </row>
    <row r="10" spans="1:13" customFormat="1">
      <c r="A10" s="7"/>
      <c r="B10" s="7"/>
      <c r="D10" s="8"/>
      <c r="E10" s="8"/>
      <c r="F10" s="8"/>
      <c r="G10" s="44"/>
    </row>
    <row r="11" spans="1:13" customFormat="1">
      <c r="A11" s="7"/>
      <c r="B11" s="7"/>
      <c r="D11" s="8"/>
      <c r="E11" s="8"/>
      <c r="F11" s="8"/>
      <c r="G11" s="44"/>
    </row>
    <row r="12" spans="1:13" customFormat="1">
      <c r="A12" s="7"/>
      <c r="B12" s="7"/>
      <c r="D12" s="8"/>
      <c r="E12" s="8"/>
      <c r="F12" s="8"/>
      <c r="G12" s="44"/>
    </row>
    <row r="13" spans="1:13" customFormat="1">
      <c r="A13" s="9" t="s">
        <v>92</v>
      </c>
      <c r="B13" s="9"/>
      <c r="D13" s="8"/>
      <c r="E13" s="8"/>
      <c r="F13" s="8"/>
      <c r="G13" s="44"/>
      <c r="H13" s="2" t="s">
        <v>359</v>
      </c>
      <c r="I13" s="561" t="s">
        <v>353</v>
      </c>
    </row>
    <row r="14" spans="1:13" customFormat="1">
      <c r="A14" s="9"/>
      <c r="B14" s="9"/>
      <c r="D14" s="8"/>
      <c r="E14" s="8"/>
      <c r="F14" s="44"/>
      <c r="G14" s="45"/>
      <c r="H14" s="2"/>
      <c r="I14" s="44"/>
    </row>
    <row r="15" spans="1:13" s="98" customFormat="1">
      <c r="A15" s="116">
        <v>1.1000000000000001</v>
      </c>
      <c r="B15" s="162" t="s">
        <v>508</v>
      </c>
      <c r="D15" s="132"/>
      <c r="E15" s="132"/>
      <c r="F15" s="44"/>
      <c r="G15" s="44"/>
      <c r="H15" s="123" t="s">
        <v>24</v>
      </c>
      <c r="I15" s="123" t="s">
        <v>24</v>
      </c>
    </row>
    <row r="16" spans="1:13" customFormat="1">
      <c r="A16" s="46"/>
      <c r="B16" s="562" t="s">
        <v>415</v>
      </c>
      <c r="C16" s="44"/>
      <c r="D16" s="44"/>
      <c r="E16" s="8"/>
      <c r="F16" s="8"/>
      <c r="G16" s="44"/>
    </row>
    <row r="17" spans="1:21" customFormat="1">
      <c r="A17" s="46"/>
      <c r="B17" s="243"/>
      <c r="C17" s="44"/>
      <c r="D17" s="44"/>
      <c r="E17" s="8"/>
      <c r="F17" s="8"/>
      <c r="G17" s="44"/>
    </row>
    <row r="18" spans="1:21" customFormat="1">
      <c r="A18" s="116">
        <v>1.2</v>
      </c>
      <c r="B18" s="572" t="s">
        <v>513</v>
      </c>
      <c r="C18" s="572"/>
      <c r="D18" s="44"/>
      <c r="E18" s="8"/>
      <c r="F18" s="8"/>
      <c r="G18" s="44"/>
      <c r="H18" s="123" t="s">
        <v>24</v>
      </c>
      <c r="I18" s="123" t="s">
        <v>24</v>
      </c>
    </row>
    <row r="19" spans="1:21" customFormat="1">
      <c r="A19" s="116"/>
      <c r="B19" s="572" t="s">
        <v>588</v>
      </c>
      <c r="C19" s="572"/>
      <c r="D19" s="44"/>
      <c r="E19" s="8"/>
      <c r="F19" s="8"/>
      <c r="G19" s="44"/>
      <c r="I19" s="123"/>
    </row>
    <row r="20" spans="1:21" customFormat="1">
      <c r="A20" s="116"/>
      <c r="B20" s="562"/>
      <c r="C20" s="44"/>
      <c r="D20" s="44"/>
      <c r="E20" s="8"/>
      <c r="F20" s="8"/>
      <c r="G20" s="44"/>
      <c r="I20" s="123"/>
    </row>
    <row r="21" spans="1:21" customFormat="1">
      <c r="A21" s="9" t="s">
        <v>8</v>
      </c>
      <c r="B21" s="9"/>
      <c r="D21" s="8"/>
      <c r="E21" s="8"/>
      <c r="F21" s="8"/>
      <c r="G21" s="44"/>
    </row>
    <row r="22" spans="1:21" customFormat="1"/>
    <row r="23" spans="1:21" customFormat="1">
      <c r="A23" s="44"/>
      <c r="B23" s="285" t="s">
        <v>9</v>
      </c>
      <c r="C23" s="303" t="s">
        <v>18</v>
      </c>
      <c r="D23" s="285" t="s">
        <v>11</v>
      </c>
      <c r="E23" s="285" t="s">
        <v>12</v>
      </c>
      <c r="F23" s="648" t="s">
        <v>13</v>
      </c>
      <c r="G23" s="649"/>
      <c r="H23" s="649"/>
      <c r="I23" s="650"/>
    </row>
    <row r="24" spans="1:21" s="39" customFormat="1" ht="33" customHeight="1">
      <c r="B24" s="613">
        <v>1</v>
      </c>
      <c r="C24" s="614" t="s">
        <v>634</v>
      </c>
      <c r="D24" s="615">
        <v>0</v>
      </c>
      <c r="E24" s="616" t="s">
        <v>514</v>
      </c>
      <c r="F24" s="651"/>
      <c r="G24" s="651"/>
      <c r="H24" s="651"/>
      <c r="I24" s="651"/>
      <c r="J24" s="95"/>
      <c r="K24" s="95"/>
      <c r="L24" s="95"/>
      <c r="M24" s="95"/>
      <c r="N24" s="95"/>
      <c r="O24" s="95"/>
      <c r="P24" s="95"/>
      <c r="Q24" s="95"/>
      <c r="R24" s="95"/>
      <c r="S24" s="95"/>
      <c r="T24" s="95"/>
      <c r="U24" s="95"/>
    </row>
    <row r="25" spans="1:21" s="39" customFormat="1" ht="25.5">
      <c r="B25" s="613">
        <v>2</v>
      </c>
      <c r="C25" s="614" t="s">
        <v>589</v>
      </c>
      <c r="D25" s="615"/>
      <c r="E25" s="616" t="s">
        <v>514</v>
      </c>
      <c r="F25" s="651"/>
      <c r="G25" s="651"/>
      <c r="H25" s="651"/>
      <c r="I25" s="651"/>
      <c r="J25" s="95"/>
      <c r="K25" s="95"/>
      <c r="L25" s="95"/>
      <c r="M25" s="95"/>
      <c r="N25" s="95"/>
      <c r="O25" s="95"/>
      <c r="P25" s="95"/>
      <c r="Q25" s="95"/>
      <c r="R25" s="95"/>
      <c r="S25" s="95"/>
      <c r="T25" s="95"/>
      <c r="U25" s="95"/>
    </row>
    <row r="26" spans="1:21" s="42" customFormat="1" ht="12.75">
      <c r="B26" s="617"/>
      <c r="C26" s="618" t="s">
        <v>14</v>
      </c>
      <c r="D26" s="627">
        <f>SUM(D24:D25)</f>
        <v>0</v>
      </c>
      <c r="E26" s="619"/>
      <c r="F26" s="652"/>
      <c r="G26" s="652"/>
      <c r="H26" s="652"/>
      <c r="I26" s="652"/>
      <c r="J26" s="620"/>
      <c r="K26" s="620"/>
      <c r="L26" s="620"/>
      <c r="M26" s="620"/>
      <c r="N26" s="620"/>
      <c r="O26" s="620"/>
      <c r="P26" s="620"/>
      <c r="Q26" s="620"/>
      <c r="R26" s="620"/>
      <c r="S26" s="620"/>
      <c r="T26" s="620"/>
      <c r="U26" s="620"/>
    </row>
    <row r="27" spans="1:21" s="39" customFormat="1" ht="12.75">
      <c r="B27" s="219"/>
      <c r="C27" s="220"/>
      <c r="D27" s="573"/>
      <c r="E27" s="574"/>
      <c r="F27" s="575"/>
      <c r="G27" s="575"/>
      <c r="H27" s="575"/>
      <c r="I27" s="575"/>
      <c r="J27" s="95"/>
      <c r="K27" s="95"/>
      <c r="L27" s="95"/>
      <c r="M27" s="95"/>
      <c r="N27" s="95"/>
      <c r="O27" s="95"/>
      <c r="P27" s="95"/>
      <c r="Q27" s="95"/>
      <c r="R27" s="95"/>
      <c r="S27" s="95"/>
      <c r="T27" s="95"/>
      <c r="U27" s="95"/>
    </row>
    <row r="28" spans="1:21" s="54" customFormat="1">
      <c r="A28" s="9" t="s">
        <v>15</v>
      </c>
      <c r="B28" s="9"/>
      <c r="C28" s="55"/>
      <c r="D28" s="56"/>
      <c r="E28" s="17"/>
      <c r="F28" s="8"/>
      <c r="G28"/>
      <c r="H28"/>
      <c r="I28"/>
      <c r="J28"/>
      <c r="K28"/>
      <c r="L28"/>
      <c r="M28"/>
      <c r="N28"/>
      <c r="O28"/>
      <c r="P28"/>
      <c r="Q28"/>
      <c r="R28"/>
      <c r="S28"/>
      <c r="T28"/>
      <c r="U28"/>
    </row>
    <row r="29" spans="1:21" s="54" customFormat="1">
      <c r="A29" s="182" t="s">
        <v>590</v>
      </c>
      <c r="B29" s="182"/>
      <c r="C29" s="55"/>
      <c r="D29" s="56"/>
      <c r="E29" s="17"/>
      <c r="F29" s="8"/>
      <c r="G29"/>
      <c r="H29"/>
      <c r="I29"/>
      <c r="J29"/>
      <c r="K29"/>
      <c r="L29"/>
      <c r="M29"/>
      <c r="N29"/>
      <c r="O29"/>
      <c r="P29"/>
      <c r="Q29"/>
      <c r="R29"/>
      <c r="S29"/>
      <c r="T29"/>
      <c r="U29"/>
    </row>
    <row r="30" spans="1:21" s="54" customFormat="1">
      <c r="A30" s="182" t="s">
        <v>457</v>
      </c>
      <c r="B30" s="182"/>
    </row>
    <row r="31" spans="1:21" s="54" customFormat="1">
      <c r="A31" s="182" t="s">
        <v>458</v>
      </c>
    </row>
    <row r="32" spans="1:21" s="54" customFormat="1"/>
    <row r="33" s="54" customFormat="1"/>
    <row r="34" s="54" customFormat="1"/>
    <row r="35" s="54" customFormat="1"/>
    <row r="36" s="54" customFormat="1"/>
    <row r="37" s="54" customFormat="1"/>
    <row r="38" s="54" customFormat="1"/>
    <row r="39" s="54" customFormat="1"/>
    <row r="40" s="54" customFormat="1"/>
    <row r="41" s="54" customFormat="1"/>
    <row r="42" s="54" customFormat="1"/>
    <row r="43" s="54" customFormat="1"/>
    <row r="44" s="54" customFormat="1"/>
    <row r="45" s="54" customFormat="1"/>
    <row r="46" s="54" customFormat="1"/>
    <row r="47" s="54" customFormat="1"/>
    <row r="48" s="54" customFormat="1"/>
    <row r="49" s="54" customFormat="1"/>
  </sheetData>
  <mergeCells count="4">
    <mergeCell ref="F23:I23"/>
    <mergeCell ref="F24:I24"/>
    <mergeCell ref="F25:I25"/>
    <mergeCell ref="F26:I26"/>
  </mergeCells>
  <printOptions horizontalCentered="1"/>
  <pageMargins left="0.2" right="0.2" top="0.5" bottom="0.5" header="0.3" footer="0.3"/>
  <pageSetup paperSize="9" scale="79" orientation="portrait" r:id="rId1"/>
  <colBreaks count="1" manualBreakCount="1">
    <brk id="9" max="1048575" man="1"/>
  </colBreaks>
  <drawing r:id="rId2"/>
</worksheet>
</file>

<file path=xl/worksheets/sheet14.xml><?xml version="1.0" encoding="utf-8"?>
<worksheet xmlns="http://schemas.openxmlformats.org/spreadsheetml/2006/main" xmlns:r="http://schemas.openxmlformats.org/officeDocument/2006/relationships">
  <dimension ref="A1:J99"/>
  <sheetViews>
    <sheetView view="pageBreakPreview" zoomScaleNormal="100" zoomScaleSheetLayoutView="100" workbookViewId="0">
      <selection activeCell="D12" sqref="D12"/>
    </sheetView>
  </sheetViews>
  <sheetFormatPr defaultRowHeight="15"/>
  <cols>
    <col min="1" max="2" width="3.7109375" style="44" customWidth="1"/>
    <col min="3" max="3" width="80.42578125" style="44" customWidth="1"/>
    <col min="4" max="4" width="13" style="44" customWidth="1"/>
    <col min="5" max="5" width="13.85546875" style="44" customWidth="1"/>
    <col min="6" max="6" width="12.140625" style="44" customWidth="1"/>
    <col min="7" max="16384" width="9.140625" style="44"/>
  </cols>
  <sheetData>
    <row r="1" spans="1:10" s="43" customFormat="1" ht="21">
      <c r="A1" s="1" t="s">
        <v>0</v>
      </c>
      <c r="B1" s="1"/>
      <c r="C1"/>
      <c r="D1" s="87"/>
      <c r="E1" s="189"/>
      <c r="F1" s="133" t="s">
        <v>592</v>
      </c>
    </row>
    <row r="2" spans="1:10" customFormat="1">
      <c r="A2" s="44"/>
      <c r="B2" s="44"/>
      <c r="D2" s="33"/>
      <c r="E2" s="33"/>
      <c r="F2" s="44"/>
      <c r="J2" s="3"/>
    </row>
    <row r="3" spans="1:10" customFormat="1" ht="15.75">
      <c r="A3" s="287" t="s">
        <v>295</v>
      </c>
      <c r="B3" s="4"/>
      <c r="D3" s="85"/>
      <c r="E3" s="86" t="s">
        <v>2</v>
      </c>
      <c r="F3" s="86" t="s">
        <v>3</v>
      </c>
    </row>
    <row r="4" spans="1:10" customFormat="1" ht="15.75">
      <c r="A4" s="287" t="s">
        <v>21</v>
      </c>
      <c r="B4" s="4"/>
      <c r="D4" s="85" t="s">
        <v>5</v>
      </c>
      <c r="E4" s="85"/>
      <c r="F4" s="85"/>
    </row>
    <row r="5" spans="1:10" customFormat="1">
      <c r="A5" s="287"/>
      <c r="B5" s="7"/>
      <c r="D5" s="85" t="s">
        <v>6</v>
      </c>
      <c r="E5" s="85"/>
      <c r="F5" s="85"/>
    </row>
    <row r="6" spans="1:10" s="39" customFormat="1" ht="15.75">
      <c r="A6" s="287"/>
      <c r="B6" s="4"/>
      <c r="C6"/>
      <c r="D6"/>
      <c r="E6" s="58"/>
      <c r="F6" s="58"/>
    </row>
    <row r="7" spans="1:10" s="39" customFormat="1" ht="15.75">
      <c r="A7" s="287" t="s">
        <v>593</v>
      </c>
      <c r="B7" s="4"/>
      <c r="C7"/>
      <c r="D7"/>
      <c r="E7" s="58"/>
      <c r="F7" s="58"/>
    </row>
    <row r="8" spans="1:10" s="39" customFormat="1" ht="15.75">
      <c r="A8" s="4"/>
      <c r="B8" s="4"/>
      <c r="C8"/>
      <c r="D8"/>
      <c r="E8" s="58"/>
      <c r="F8" s="58"/>
    </row>
    <row r="9" spans="1:10" s="39" customFormat="1" ht="15.75">
      <c r="A9" s="4"/>
      <c r="B9" s="4"/>
      <c r="C9"/>
      <c r="D9"/>
      <c r="E9" s="58"/>
      <c r="F9" s="58"/>
    </row>
    <row r="10" spans="1:10" s="39" customFormat="1" ht="15.75">
      <c r="A10" s="4"/>
      <c r="B10" s="4"/>
      <c r="C10"/>
      <c r="D10"/>
      <c r="E10" s="58"/>
      <c r="F10" s="58"/>
    </row>
    <row r="11" spans="1:10" s="39" customFormat="1" ht="15.75">
      <c r="A11" s="4"/>
      <c r="B11" s="4"/>
      <c r="C11"/>
      <c r="D11"/>
      <c r="E11" s="58"/>
      <c r="F11" s="58"/>
    </row>
    <row r="12" spans="1:10" s="39" customFormat="1" ht="15.75">
      <c r="A12" s="4"/>
      <c r="B12" s="4"/>
      <c r="C12"/>
      <c r="D12"/>
      <c r="E12" s="58"/>
      <c r="F12" s="58"/>
    </row>
    <row r="13" spans="1:10" s="39" customFormat="1" ht="15.75">
      <c r="A13" s="4"/>
      <c r="B13" s="4"/>
      <c r="C13"/>
      <c r="D13"/>
      <c r="E13" s="58"/>
      <c r="F13" s="58"/>
    </row>
    <row r="14" spans="1:10" s="39" customFormat="1" ht="15.75">
      <c r="A14" s="4"/>
      <c r="B14" s="4"/>
      <c r="C14"/>
      <c r="D14"/>
      <c r="E14" s="58"/>
      <c r="F14" s="58"/>
    </row>
    <row r="15" spans="1:10" s="39" customFormat="1" ht="15.75">
      <c r="A15" s="4"/>
      <c r="B15" s="4"/>
      <c r="C15"/>
      <c r="D15"/>
      <c r="E15" s="58"/>
      <c r="F15" s="58"/>
    </row>
    <row r="16" spans="1:10" s="39" customFormat="1" ht="15.75">
      <c r="A16" s="4"/>
      <c r="B16" s="4"/>
      <c r="C16"/>
      <c r="D16"/>
      <c r="E16" s="58"/>
      <c r="F16" s="58"/>
    </row>
    <row r="17" spans="1:7" s="39" customFormat="1" ht="15.75">
      <c r="A17" s="4"/>
      <c r="B17" s="4"/>
      <c r="C17"/>
      <c r="D17"/>
      <c r="E17" s="58"/>
      <c r="F17" s="58"/>
    </row>
    <row r="18" spans="1:7" s="39" customFormat="1" ht="15.75">
      <c r="A18" s="4"/>
      <c r="B18" s="4"/>
      <c r="C18"/>
      <c r="D18"/>
      <c r="E18" s="58"/>
      <c r="F18" s="58"/>
    </row>
    <row r="19" spans="1:7" s="39" customFormat="1" ht="15.75">
      <c r="A19" s="4"/>
      <c r="B19" s="4"/>
      <c r="C19"/>
      <c r="D19"/>
      <c r="E19" s="58"/>
      <c r="F19" s="58"/>
    </row>
    <row r="20" spans="1:7" s="39" customFormat="1" ht="15.75">
      <c r="A20" s="4"/>
      <c r="B20" s="4"/>
      <c r="C20"/>
      <c r="D20"/>
      <c r="E20" s="58"/>
      <c r="F20" s="58"/>
    </row>
    <row r="21" spans="1:7" s="39" customFormat="1" ht="15.75">
      <c r="A21" s="4"/>
      <c r="B21" s="4"/>
      <c r="C21"/>
      <c r="D21"/>
      <c r="E21" s="58"/>
      <c r="F21" s="58"/>
    </row>
    <row r="22" spans="1:7" s="39" customFormat="1" ht="15.75">
      <c r="A22" s="4"/>
      <c r="B22" s="4"/>
      <c r="C22"/>
      <c r="D22"/>
      <c r="E22" s="58"/>
      <c r="F22" s="58"/>
    </row>
    <row r="23" spans="1:7" s="39" customFormat="1" ht="15.75">
      <c r="A23" s="4"/>
      <c r="B23" s="4"/>
      <c r="C23"/>
      <c r="D23"/>
      <c r="E23" s="58"/>
      <c r="F23" s="58"/>
    </row>
    <row r="24" spans="1:7" s="39" customFormat="1" ht="15.75">
      <c r="A24" s="4"/>
      <c r="B24" s="4"/>
      <c r="C24"/>
      <c r="D24"/>
      <c r="E24" s="58"/>
      <c r="F24" s="58"/>
    </row>
    <row r="25" spans="1:7" s="39" customFormat="1" ht="15.75">
      <c r="A25" s="4"/>
      <c r="B25" s="4"/>
      <c r="C25"/>
      <c r="D25"/>
      <c r="E25" s="58"/>
      <c r="F25" s="58"/>
    </row>
    <row r="26" spans="1:7" s="39" customFormat="1">
      <c r="A26" s="9" t="s">
        <v>92</v>
      </c>
      <c r="B26" s="9"/>
      <c r="C26"/>
      <c r="D26"/>
      <c r="E26" s="2" t="s">
        <v>359</v>
      </c>
      <c r="F26" s="561" t="s">
        <v>353</v>
      </c>
    </row>
    <row r="27" spans="1:7" s="39" customFormat="1">
      <c r="A27" s="9"/>
      <c r="B27" s="9"/>
      <c r="C27" s="33"/>
      <c r="D27"/>
      <c r="E27" s="58"/>
      <c r="F27" s="58"/>
    </row>
    <row r="28" spans="1:7" s="39" customFormat="1">
      <c r="A28" s="116">
        <v>1.1000000000000001</v>
      </c>
      <c r="B28" s="162" t="s">
        <v>459</v>
      </c>
      <c r="C28" s="58"/>
      <c r="D28" s="44"/>
      <c r="E28" s="123" t="s">
        <v>24</v>
      </c>
      <c r="F28" s="123" t="s">
        <v>24</v>
      </c>
    </row>
    <row r="29" spans="1:7" s="39" customFormat="1">
      <c r="A29" s="9"/>
      <c r="B29" s="162" t="s">
        <v>460</v>
      </c>
      <c r="C29" s="58"/>
      <c r="D29"/>
      <c r="E29" s="58"/>
      <c r="F29" s="58"/>
    </row>
    <row r="30" spans="1:7" customFormat="1">
      <c r="A30" s="46"/>
      <c r="B30" s="562" t="s">
        <v>415</v>
      </c>
      <c r="C30" s="44"/>
      <c r="D30" s="44"/>
      <c r="E30" s="8"/>
      <c r="F30" s="8"/>
      <c r="G30" s="44"/>
    </row>
    <row r="31" spans="1:7" customFormat="1">
      <c r="A31" s="46"/>
      <c r="B31" s="243"/>
      <c r="C31" s="44"/>
      <c r="D31" s="44"/>
      <c r="E31" s="8"/>
      <c r="F31" s="8"/>
      <c r="G31" s="44"/>
    </row>
    <row r="32" spans="1:7" customFormat="1">
      <c r="A32" s="116">
        <v>1.2</v>
      </c>
      <c r="B32" s="95" t="s">
        <v>461</v>
      </c>
      <c r="C32" s="44"/>
      <c r="D32" s="44"/>
      <c r="E32" s="123" t="s">
        <v>24</v>
      </c>
      <c r="F32" s="123" t="s">
        <v>24</v>
      </c>
      <c r="G32" s="44"/>
    </row>
    <row r="33" spans="1:7" customFormat="1">
      <c r="A33" s="46"/>
      <c r="B33" s="162" t="s">
        <v>468</v>
      </c>
      <c r="C33" s="44"/>
      <c r="D33" s="44"/>
      <c r="E33" s="8"/>
      <c r="F33" s="8"/>
      <c r="G33" s="44"/>
    </row>
    <row r="34" spans="1:7" customFormat="1">
      <c r="A34" s="46"/>
      <c r="B34" s="162"/>
      <c r="C34" s="44"/>
      <c r="D34" s="44"/>
      <c r="E34" s="8"/>
      <c r="F34" s="8"/>
      <c r="G34" s="44"/>
    </row>
    <row r="35" spans="1:7" customFormat="1">
      <c r="A35" s="46"/>
      <c r="B35" s="162" t="s">
        <v>469</v>
      </c>
      <c r="C35" s="44"/>
      <c r="D35" s="44"/>
      <c r="E35" s="123" t="s">
        <v>24</v>
      </c>
      <c r="F35" s="123" t="s">
        <v>24</v>
      </c>
      <c r="G35" s="44"/>
    </row>
    <row r="36" spans="1:7" customFormat="1">
      <c r="A36" s="46"/>
      <c r="B36" s="162"/>
      <c r="C36" s="44"/>
      <c r="D36" s="44"/>
      <c r="E36" s="8"/>
      <c r="F36" s="8"/>
      <c r="G36" s="44"/>
    </row>
    <row r="37" spans="1:7" customFormat="1">
      <c r="A37" s="46"/>
      <c r="B37" s="162" t="s">
        <v>470</v>
      </c>
      <c r="C37" s="44"/>
      <c r="D37" s="44"/>
      <c r="E37" s="123" t="s">
        <v>24</v>
      </c>
      <c r="F37" s="123" t="s">
        <v>24</v>
      </c>
      <c r="G37" s="44"/>
    </row>
    <row r="38" spans="1:7" customFormat="1">
      <c r="A38" s="46"/>
      <c r="B38" s="162"/>
      <c r="C38" s="44"/>
      <c r="D38" s="44"/>
      <c r="E38" s="8"/>
      <c r="F38" s="8"/>
      <c r="G38" s="44"/>
    </row>
    <row r="39" spans="1:7" customFormat="1">
      <c r="A39" s="46"/>
      <c r="B39" s="162" t="s">
        <v>471</v>
      </c>
      <c r="C39" s="44"/>
      <c r="D39" s="44"/>
      <c r="E39" s="123" t="s">
        <v>24</v>
      </c>
      <c r="F39" s="123" t="s">
        <v>24</v>
      </c>
      <c r="G39" s="44"/>
    </row>
    <row r="40" spans="1:7" s="39" customFormat="1">
      <c r="A40" s="9"/>
      <c r="B40" s="562"/>
      <c r="C40" s="58"/>
      <c r="D40"/>
      <c r="E40" s="123"/>
      <c r="F40" s="123"/>
    </row>
    <row r="41" spans="1:7" s="39" customFormat="1">
      <c r="A41" s="116">
        <v>1.3</v>
      </c>
      <c r="B41" s="162" t="s">
        <v>462</v>
      </c>
      <c r="C41" s="58"/>
      <c r="D41" s="44"/>
      <c r="E41" s="123" t="s">
        <v>24</v>
      </c>
      <c r="F41" s="123" t="s">
        <v>24</v>
      </c>
    </row>
    <row r="42" spans="1:7" s="39" customFormat="1" ht="12.75">
      <c r="A42" s="7"/>
      <c r="B42" s="162" t="s">
        <v>463</v>
      </c>
      <c r="C42" s="58"/>
      <c r="D42" s="2"/>
      <c r="E42" s="58"/>
      <c r="F42" s="58"/>
    </row>
    <row r="43" spans="1:7" s="39" customFormat="1" ht="12.75">
      <c r="A43" s="7"/>
      <c r="B43" s="162" t="s">
        <v>595</v>
      </c>
      <c r="C43" s="58"/>
      <c r="D43" s="2"/>
      <c r="E43" s="58"/>
      <c r="F43" s="58"/>
    </row>
    <row r="44" spans="1:7" s="39" customFormat="1" ht="12.75">
      <c r="A44" s="7"/>
      <c r="B44" s="162"/>
      <c r="C44" s="58"/>
      <c r="D44" s="2"/>
      <c r="E44" s="58"/>
      <c r="F44" s="58"/>
    </row>
    <row r="45" spans="1:7" s="39" customFormat="1" ht="12.75">
      <c r="A45" s="116">
        <v>1.4</v>
      </c>
      <c r="B45" s="162" t="s">
        <v>479</v>
      </c>
      <c r="C45" s="58"/>
      <c r="D45" s="2"/>
      <c r="E45" s="190" t="s">
        <v>24</v>
      </c>
      <c r="F45" s="190" t="s">
        <v>24</v>
      </c>
    </row>
    <row r="46" spans="1:7" s="39" customFormat="1" ht="12.75">
      <c r="A46" s="7"/>
      <c r="B46" s="162" t="s">
        <v>464</v>
      </c>
      <c r="C46" s="58"/>
      <c r="D46" s="2"/>
      <c r="E46" s="58"/>
      <c r="F46" s="58"/>
    </row>
    <row r="47" spans="1:7" s="39" customFormat="1" ht="12.75">
      <c r="A47" s="7"/>
      <c r="B47" s="162" t="s">
        <v>480</v>
      </c>
      <c r="C47" s="58"/>
      <c r="D47" s="2"/>
      <c r="E47" s="58"/>
      <c r="F47" s="58"/>
    </row>
    <row r="48" spans="1:7" s="39" customFormat="1" ht="12.75">
      <c r="A48" s="7"/>
      <c r="B48" s="562" t="s">
        <v>415</v>
      </c>
      <c r="C48" s="58"/>
      <c r="D48" s="2"/>
      <c r="E48" s="58"/>
      <c r="F48" s="58"/>
    </row>
    <row r="49" spans="1:6" s="39" customFormat="1">
      <c r="A49" s="59"/>
      <c r="B49" s="59"/>
      <c r="C49" s="441"/>
      <c r="D49" s="21"/>
      <c r="E49" s="58"/>
      <c r="F49" s="58"/>
    </row>
    <row r="50" spans="1:6" s="39" customFormat="1">
      <c r="A50" s="9" t="s">
        <v>8</v>
      </c>
      <c r="B50" s="9"/>
      <c r="C50"/>
      <c r="D50"/>
      <c r="E50" s="58"/>
      <c r="F50" s="58"/>
    </row>
    <row r="51" spans="1:6" s="39" customFormat="1">
      <c r="A51" s="9"/>
      <c r="B51" s="9"/>
      <c r="C51"/>
      <c r="D51"/>
      <c r="E51" s="58"/>
      <c r="F51" s="58"/>
    </row>
    <row r="52" spans="1:6" s="39" customFormat="1" ht="12.75">
      <c r="A52" s="9"/>
      <c r="B52" s="473" t="s">
        <v>9</v>
      </c>
      <c r="C52" s="303" t="s">
        <v>18</v>
      </c>
      <c r="D52" s="473" t="s">
        <v>11</v>
      </c>
      <c r="E52" s="473" t="s">
        <v>12</v>
      </c>
      <c r="F52" s="442" t="s">
        <v>13</v>
      </c>
    </row>
    <row r="53" spans="1:6" s="39" customFormat="1" ht="12.75">
      <c r="A53" s="9"/>
      <c r="B53" s="191">
        <v>1</v>
      </c>
      <c r="C53" s="128" t="s">
        <v>310</v>
      </c>
      <c r="D53" s="443"/>
      <c r="E53" s="127" t="s">
        <v>37</v>
      </c>
      <c r="F53" s="130"/>
    </row>
    <row r="54" spans="1:6" s="39" customFormat="1" ht="12.75">
      <c r="A54" s="9"/>
      <c r="B54" s="127">
        <v>2</v>
      </c>
      <c r="C54" s="128" t="s">
        <v>299</v>
      </c>
      <c r="D54" s="444"/>
      <c r="E54" s="150" t="s">
        <v>594</v>
      </c>
      <c r="F54" s="127"/>
    </row>
    <row r="55" spans="1:6" s="39" customFormat="1" ht="12.75">
      <c r="A55" s="9"/>
      <c r="B55" s="127">
        <v>3</v>
      </c>
      <c r="C55" s="128" t="s">
        <v>125</v>
      </c>
      <c r="D55" s="444"/>
      <c r="E55" s="127"/>
      <c r="F55" s="130"/>
    </row>
    <row r="56" spans="1:6" s="39" customFormat="1" ht="12.75">
      <c r="A56" s="9"/>
      <c r="B56" s="127">
        <v>4</v>
      </c>
      <c r="C56" s="128" t="s">
        <v>601</v>
      </c>
      <c r="D56" s="445"/>
      <c r="E56" s="152"/>
      <c r="F56" s="152"/>
    </row>
    <row r="57" spans="1:6" s="39" customFormat="1" ht="25.5">
      <c r="A57" s="9"/>
      <c r="B57" s="448">
        <v>5</v>
      </c>
      <c r="C57" s="128" t="s">
        <v>311</v>
      </c>
      <c r="D57" s="626"/>
      <c r="E57" s="447"/>
      <c r="F57" s="152"/>
    </row>
    <row r="58" spans="1:6" s="39" customFormat="1" ht="12.75">
      <c r="A58" s="9"/>
      <c r="B58" s="448"/>
      <c r="C58" s="128"/>
      <c r="D58" s="446"/>
      <c r="E58" s="447"/>
      <c r="F58" s="152"/>
    </row>
    <row r="59" spans="1:6" s="23" customFormat="1">
      <c r="C59"/>
      <c r="D59"/>
      <c r="E59" s="134"/>
      <c r="F59" s="134"/>
    </row>
    <row r="60" spans="1:6" s="39" customFormat="1">
      <c r="A60" s="9" t="s">
        <v>15</v>
      </c>
      <c r="B60" s="9"/>
      <c r="C60"/>
      <c r="D60"/>
      <c r="E60" s="58"/>
      <c r="F60" s="58"/>
    </row>
    <row r="61" spans="1:6" s="39" customFormat="1">
      <c r="A61" s="182" t="s">
        <v>635</v>
      </c>
      <c r="C61"/>
      <c r="D61"/>
      <c r="E61" s="58"/>
      <c r="F61" s="58"/>
    </row>
    <row r="62" spans="1:6" s="54" customFormat="1"/>
    <row r="63" spans="1:6" s="54" customFormat="1"/>
    <row r="64" spans="1:6" s="54" customFormat="1"/>
    <row r="65" spans="1:2" s="54" customFormat="1"/>
    <row r="66" spans="1:2" s="54" customFormat="1">
      <c r="A66" s="44"/>
      <c r="B66" s="44"/>
    </row>
    <row r="67" spans="1:2" s="54" customFormat="1">
      <c r="A67" s="44"/>
      <c r="B67" s="44"/>
    </row>
    <row r="68" spans="1:2" s="54" customFormat="1">
      <c r="A68" s="44"/>
      <c r="B68" s="44"/>
    </row>
    <row r="69" spans="1:2" s="54" customFormat="1">
      <c r="A69" s="44"/>
      <c r="B69" s="44"/>
    </row>
    <row r="70" spans="1:2" s="54" customFormat="1">
      <c r="A70" s="44"/>
      <c r="B70" s="44"/>
    </row>
    <row r="71" spans="1:2" s="54" customFormat="1">
      <c r="A71" s="44"/>
      <c r="B71" s="44"/>
    </row>
    <row r="72" spans="1:2" s="54" customFormat="1">
      <c r="A72" s="44"/>
      <c r="B72" s="44"/>
    </row>
    <row r="73" spans="1:2" s="54" customFormat="1">
      <c r="A73" s="44"/>
      <c r="B73" s="44"/>
    </row>
    <row r="74" spans="1:2" s="54" customFormat="1">
      <c r="A74" s="44"/>
      <c r="B74" s="44"/>
    </row>
    <row r="75" spans="1:2" s="54" customFormat="1">
      <c r="A75" s="44"/>
      <c r="B75" s="44"/>
    </row>
    <row r="76" spans="1:2" s="54" customFormat="1">
      <c r="A76" s="44"/>
      <c r="B76" s="44"/>
    </row>
    <row r="77" spans="1:2" s="54" customFormat="1">
      <c r="A77" s="44"/>
      <c r="B77" s="44"/>
    </row>
    <row r="78" spans="1:2" s="54" customFormat="1">
      <c r="A78" s="44"/>
      <c r="B78" s="44"/>
    </row>
    <row r="79" spans="1:2" s="54" customFormat="1">
      <c r="A79" s="44"/>
      <c r="B79" s="44"/>
    </row>
    <row r="80" spans="1:2" s="54" customFormat="1">
      <c r="A80" s="44"/>
      <c r="B80" s="44"/>
    </row>
    <row r="81" spans="1:2" s="54" customFormat="1">
      <c r="A81" s="44"/>
      <c r="B81" s="44"/>
    </row>
    <row r="82" spans="1:2" s="54" customFormat="1">
      <c r="A82" s="44"/>
      <c r="B82" s="44"/>
    </row>
    <row r="83" spans="1:2" s="54" customFormat="1">
      <c r="A83" s="44"/>
      <c r="B83" s="44"/>
    </row>
    <row r="84" spans="1:2" s="54" customFormat="1">
      <c r="A84" s="44"/>
      <c r="B84" s="44"/>
    </row>
    <row r="85" spans="1:2" s="54" customFormat="1">
      <c r="A85" s="44"/>
      <c r="B85" s="44"/>
    </row>
    <row r="86" spans="1:2" s="54" customFormat="1">
      <c r="A86" s="44"/>
      <c r="B86" s="44"/>
    </row>
    <row r="87" spans="1:2" s="54" customFormat="1">
      <c r="A87" s="44"/>
      <c r="B87" s="44"/>
    </row>
    <row r="88" spans="1:2" s="54" customFormat="1">
      <c r="A88" s="44"/>
      <c r="B88" s="44"/>
    </row>
    <row r="89" spans="1:2" s="54" customFormat="1">
      <c r="A89" s="44"/>
      <c r="B89" s="44"/>
    </row>
    <row r="90" spans="1:2" s="54" customFormat="1">
      <c r="A90" s="44"/>
      <c r="B90" s="44"/>
    </row>
    <row r="91" spans="1:2" s="54" customFormat="1">
      <c r="A91" s="44"/>
      <c r="B91" s="44"/>
    </row>
    <row r="92" spans="1:2" s="54" customFormat="1">
      <c r="A92" s="44"/>
      <c r="B92" s="44"/>
    </row>
    <row r="93" spans="1:2" s="54" customFormat="1">
      <c r="A93" s="44"/>
      <c r="B93" s="44"/>
    </row>
    <row r="94" spans="1:2" s="54" customFormat="1">
      <c r="A94" s="44"/>
      <c r="B94" s="44"/>
    </row>
    <row r="95" spans="1:2" s="54" customFormat="1">
      <c r="A95" s="44"/>
      <c r="B95" s="44"/>
    </row>
    <row r="96" spans="1:2" s="54" customFormat="1">
      <c r="A96" s="44"/>
      <c r="B96" s="44"/>
    </row>
    <row r="97" spans="1:2" s="54" customFormat="1">
      <c r="A97" s="44"/>
      <c r="B97" s="44"/>
    </row>
    <row r="98" spans="1:2" s="54" customFormat="1">
      <c r="A98" s="44"/>
      <c r="B98" s="44"/>
    </row>
    <row r="99" spans="1:2" s="54" customFormat="1">
      <c r="A99" s="44"/>
      <c r="B99" s="44"/>
    </row>
  </sheetData>
  <pageMargins left="0.2" right="0.2" top="0.5" bottom="0.5" header="0.3" footer="0.3"/>
  <pageSetup paperSize="9" scale="71" orientation="portrait" r:id="rId1"/>
  <colBreaks count="1" manualBreakCount="1">
    <brk id="6" max="1048575" man="1"/>
  </colBreaks>
  <drawing r:id="rId2"/>
</worksheet>
</file>

<file path=xl/worksheets/sheet15.xml><?xml version="1.0" encoding="utf-8"?>
<worksheet xmlns="http://schemas.openxmlformats.org/spreadsheetml/2006/main" xmlns:r="http://schemas.openxmlformats.org/officeDocument/2006/relationships">
  <dimension ref="A1:L58"/>
  <sheetViews>
    <sheetView view="pageBreakPreview" zoomScaleNormal="100" zoomScaleSheetLayoutView="100" workbookViewId="0">
      <selection activeCell="E4" sqref="E4"/>
    </sheetView>
  </sheetViews>
  <sheetFormatPr defaultRowHeight="15"/>
  <cols>
    <col min="1" max="1" width="5.42578125" style="44" customWidth="1"/>
    <col min="2" max="2" width="22.85546875" style="44" bestFit="1" customWidth="1"/>
    <col min="3" max="3" width="8.5703125" style="44" bestFit="1" customWidth="1"/>
    <col min="4" max="4" width="12" style="44" customWidth="1"/>
    <col min="5" max="5" width="13.7109375" style="44" customWidth="1"/>
    <col min="6" max="6" width="17.5703125" style="44" customWidth="1"/>
    <col min="7" max="7" width="12.140625" style="44" bestFit="1" customWidth="1"/>
    <col min="8" max="8" width="12.140625" style="44" customWidth="1"/>
    <col min="9" max="9" width="17" style="44" bestFit="1" customWidth="1"/>
    <col min="10" max="16384" width="9.140625" style="44"/>
  </cols>
  <sheetData>
    <row r="1" spans="1:12" s="43" customFormat="1" ht="21">
      <c r="A1" s="1" t="s">
        <v>0</v>
      </c>
      <c r="B1"/>
      <c r="C1"/>
      <c r="D1"/>
      <c r="E1" s="44"/>
      <c r="F1" s="44"/>
      <c r="G1" s="87"/>
      <c r="H1" s="87"/>
      <c r="I1" s="133" t="s">
        <v>596</v>
      </c>
    </row>
    <row r="2" spans="1:12" customFormat="1">
      <c r="A2" s="44"/>
      <c r="E2" s="44"/>
      <c r="F2" s="44"/>
      <c r="G2" s="33"/>
      <c r="H2" s="33"/>
      <c r="L2" s="3"/>
    </row>
    <row r="3" spans="1:12" customFormat="1" ht="15.75">
      <c r="A3" s="4" t="s">
        <v>20</v>
      </c>
      <c r="C3" s="44"/>
      <c r="D3" s="44"/>
      <c r="E3" s="44"/>
      <c r="F3" s="44"/>
      <c r="G3" s="85"/>
      <c r="H3" s="86" t="s">
        <v>2</v>
      </c>
      <c r="I3" s="86" t="s">
        <v>3</v>
      </c>
    </row>
    <row r="4" spans="1:12" customFormat="1" ht="15.75">
      <c r="A4" s="4" t="s">
        <v>21</v>
      </c>
      <c r="C4" s="44"/>
      <c r="D4" s="44"/>
      <c r="E4" s="44"/>
      <c r="F4" s="44"/>
      <c r="G4" s="85" t="s">
        <v>5</v>
      </c>
      <c r="H4" s="85"/>
      <c r="I4" s="85"/>
    </row>
    <row r="5" spans="1:12" customFormat="1">
      <c r="A5" s="7"/>
      <c r="C5" s="44"/>
      <c r="D5" s="44"/>
      <c r="E5" s="44"/>
      <c r="F5" s="44"/>
      <c r="G5" s="85" t="s">
        <v>6</v>
      </c>
      <c r="H5" s="85"/>
      <c r="I5" s="85"/>
    </row>
    <row r="6" spans="1:12" s="39" customFormat="1" ht="12.75">
      <c r="A6" s="58"/>
      <c r="B6" s="58"/>
      <c r="C6" s="58"/>
      <c r="D6" s="58"/>
      <c r="E6" s="58"/>
      <c r="F6" s="58"/>
      <c r="G6" s="58"/>
      <c r="H6" s="58"/>
      <c r="I6" s="58"/>
    </row>
    <row r="7" spans="1:12" s="39" customFormat="1" ht="15.75">
      <c r="A7" s="653" t="s">
        <v>465</v>
      </c>
      <c r="B7" s="653"/>
      <c r="C7" s="653"/>
      <c r="D7" s="653"/>
      <c r="E7" s="653"/>
      <c r="F7" s="653"/>
      <c r="G7" s="653"/>
      <c r="H7" s="653"/>
      <c r="I7" s="653"/>
    </row>
    <row r="8" spans="1:12" s="39" customFormat="1" ht="12.75">
      <c r="A8" s="2"/>
      <c r="B8" s="2"/>
      <c r="C8" s="2"/>
      <c r="D8" s="2"/>
      <c r="E8" s="2"/>
      <c r="F8" s="2"/>
      <c r="G8" s="2"/>
      <c r="H8" s="2"/>
      <c r="I8" s="2"/>
    </row>
    <row r="9" spans="1:12" s="39" customFormat="1" ht="12.75">
      <c r="A9" s="196" t="s">
        <v>9</v>
      </c>
      <c r="B9" s="196" t="s">
        <v>18</v>
      </c>
      <c r="C9" s="196" t="s">
        <v>88</v>
      </c>
      <c r="D9" s="197" t="s">
        <v>118</v>
      </c>
      <c r="E9" s="197" t="s">
        <v>116</v>
      </c>
      <c r="F9" s="198" t="s">
        <v>116</v>
      </c>
      <c r="G9" s="198" t="s">
        <v>116</v>
      </c>
      <c r="H9" s="208" t="s">
        <v>89</v>
      </c>
      <c r="I9" s="196" t="s">
        <v>124</v>
      </c>
    </row>
    <row r="10" spans="1:12" s="39" customFormat="1" ht="12.75">
      <c r="A10" s="199"/>
      <c r="B10" s="199" t="s">
        <v>106</v>
      </c>
      <c r="C10" s="199"/>
      <c r="D10" s="200" t="s">
        <v>119</v>
      </c>
      <c r="E10" s="200" t="s">
        <v>117</v>
      </c>
      <c r="F10" s="200" t="s">
        <v>120</v>
      </c>
      <c r="G10" s="200" t="s">
        <v>121</v>
      </c>
      <c r="H10" s="205"/>
      <c r="I10" s="199" t="s">
        <v>105</v>
      </c>
    </row>
    <row r="11" spans="1:12" s="156" customFormat="1" ht="12">
      <c r="A11" s="201" t="s">
        <v>70</v>
      </c>
      <c r="B11" s="201" t="s">
        <v>71</v>
      </c>
      <c r="C11" s="201" t="s">
        <v>76</v>
      </c>
      <c r="D11" s="201" t="s">
        <v>72</v>
      </c>
      <c r="E11" s="201" t="s">
        <v>73</v>
      </c>
      <c r="F11" s="201" t="s">
        <v>74</v>
      </c>
      <c r="G11" s="201" t="s">
        <v>75</v>
      </c>
      <c r="H11" s="201" t="s">
        <v>122</v>
      </c>
      <c r="I11" s="201" t="s">
        <v>123</v>
      </c>
    </row>
    <row r="12" spans="1:12" s="39" customFormat="1" ht="12.75">
      <c r="A12" s="157"/>
      <c r="B12" s="94"/>
      <c r="C12" s="94"/>
      <c r="D12" s="94"/>
      <c r="E12" s="89"/>
      <c r="F12" s="89"/>
      <c r="G12" s="89"/>
      <c r="H12" s="89"/>
      <c r="I12" s="158"/>
    </row>
    <row r="13" spans="1:12" s="39" customFormat="1" ht="12.75">
      <c r="A13" s="155">
        <v>1</v>
      </c>
      <c r="B13" s="142"/>
      <c r="C13" s="192"/>
      <c r="D13" s="192"/>
      <c r="E13" s="193"/>
      <c r="F13" s="193"/>
      <c r="G13" s="193"/>
      <c r="H13" s="213">
        <f>E13-F13-G13</f>
        <v>0</v>
      </c>
      <c r="I13" s="194">
        <f>C13*(D13-H13)</f>
        <v>0</v>
      </c>
    </row>
    <row r="14" spans="1:12" s="39" customFormat="1" ht="12.75">
      <c r="A14" s="155">
        <v>2</v>
      </c>
      <c r="B14" s="142"/>
      <c r="C14" s="192"/>
      <c r="D14" s="192"/>
      <c r="E14" s="193"/>
      <c r="F14" s="193"/>
      <c r="G14" s="193"/>
      <c r="H14" s="213">
        <f>E14-F14-G14</f>
        <v>0</v>
      </c>
      <c r="I14" s="194">
        <f>C14*(D14-H14)</f>
        <v>0</v>
      </c>
    </row>
    <row r="15" spans="1:12" s="39" customFormat="1" ht="12.75">
      <c r="A15" s="155">
        <v>3</v>
      </c>
      <c r="B15" s="142"/>
      <c r="C15" s="192"/>
      <c r="D15" s="192"/>
      <c r="E15" s="193"/>
      <c r="F15" s="193"/>
      <c r="G15" s="193"/>
      <c r="H15" s="213">
        <f>E15-F15-G15</f>
        <v>0</v>
      </c>
      <c r="I15" s="194">
        <f>C15*(D15-H15)</f>
        <v>0</v>
      </c>
    </row>
    <row r="16" spans="1:12" s="39" customFormat="1" ht="12.75">
      <c r="A16" s="155">
        <v>4</v>
      </c>
      <c r="B16" s="142"/>
      <c r="C16" s="192"/>
      <c r="D16" s="192"/>
      <c r="E16" s="193"/>
      <c r="F16" s="193"/>
      <c r="G16" s="193"/>
      <c r="H16" s="213">
        <f>E16-F16-G16</f>
        <v>0</v>
      </c>
      <c r="I16" s="194">
        <f>C16*(D16-H16)</f>
        <v>0</v>
      </c>
    </row>
    <row r="17" spans="1:9" s="39" customFormat="1" ht="12.75">
      <c r="A17" s="155">
        <v>5</v>
      </c>
      <c r="B17" s="142"/>
      <c r="C17" s="192"/>
      <c r="D17" s="192"/>
      <c r="E17" s="193"/>
      <c r="F17" s="193"/>
      <c r="G17" s="193"/>
      <c r="H17" s="213">
        <f>E17-F17-G17</f>
        <v>0</v>
      </c>
      <c r="I17" s="194">
        <f>C17*(D17-H17)</f>
        <v>0</v>
      </c>
    </row>
    <row r="18" spans="1:9" s="39" customFormat="1" ht="12.75">
      <c r="A18" s="153"/>
      <c r="B18" s="147"/>
      <c r="C18" s="147"/>
      <c r="D18" s="147"/>
      <c r="E18" s="88"/>
      <c r="F18" s="88"/>
      <c r="G18" s="88"/>
      <c r="H18" s="88"/>
      <c r="I18" s="154"/>
    </row>
    <row r="19" spans="1:9" s="39" customFormat="1" ht="12.75">
      <c r="A19" s="202"/>
      <c r="B19" s="202" t="s">
        <v>14</v>
      </c>
      <c r="C19" s="203"/>
      <c r="D19" s="203"/>
      <c r="E19" s="204"/>
      <c r="F19" s="204"/>
      <c r="G19" s="204"/>
      <c r="H19" s="204"/>
      <c r="I19" s="204"/>
    </row>
    <row r="20" spans="1:9" s="54" customFormat="1"/>
    <row r="21" spans="1:9" s="54" customFormat="1"/>
    <row r="22" spans="1:9" s="54" customFormat="1"/>
    <row r="23" spans="1:9" s="54" customFormat="1"/>
    <row r="24" spans="1:9" s="54" customFormat="1"/>
    <row r="25" spans="1:9" s="54" customFormat="1">
      <c r="A25" s="44"/>
    </row>
    <row r="26" spans="1:9" s="54" customFormat="1">
      <c r="A26" s="44"/>
    </row>
    <row r="27" spans="1:9" s="54" customFormat="1">
      <c r="A27" s="44"/>
    </row>
    <row r="28" spans="1:9" s="54" customFormat="1">
      <c r="A28" s="44"/>
    </row>
    <row r="29" spans="1:9" s="54" customFormat="1">
      <c r="A29" s="44"/>
    </row>
    <row r="30" spans="1:9" s="54" customFormat="1">
      <c r="A30" s="44"/>
    </row>
    <row r="31" spans="1:9" s="54" customFormat="1">
      <c r="A31" s="44"/>
    </row>
    <row r="32" spans="1:9" s="54" customFormat="1">
      <c r="A32" s="44"/>
    </row>
    <row r="33" spans="1:1" s="54" customFormat="1">
      <c r="A33" s="44"/>
    </row>
    <row r="34" spans="1:1" s="54" customFormat="1">
      <c r="A34" s="44"/>
    </row>
    <row r="35" spans="1:1" s="54" customFormat="1">
      <c r="A35" s="44"/>
    </row>
    <row r="36" spans="1:1" s="54" customFormat="1">
      <c r="A36" s="44"/>
    </row>
    <row r="37" spans="1:1" s="54" customFormat="1">
      <c r="A37" s="44"/>
    </row>
    <row r="38" spans="1:1" s="54" customFormat="1">
      <c r="A38" s="44"/>
    </row>
    <row r="39" spans="1:1" s="54" customFormat="1">
      <c r="A39" s="44"/>
    </row>
    <row r="40" spans="1:1" s="54" customFormat="1">
      <c r="A40" s="44"/>
    </row>
    <row r="41" spans="1:1" s="54" customFormat="1">
      <c r="A41" s="44"/>
    </row>
    <row r="42" spans="1:1" s="54" customFormat="1">
      <c r="A42" s="44"/>
    </row>
    <row r="43" spans="1:1" s="54" customFormat="1">
      <c r="A43" s="44"/>
    </row>
    <row r="44" spans="1:1" s="54" customFormat="1">
      <c r="A44" s="44"/>
    </row>
    <row r="45" spans="1:1" s="54" customFormat="1">
      <c r="A45" s="44"/>
    </row>
    <row r="46" spans="1:1" s="54" customFormat="1">
      <c r="A46" s="44"/>
    </row>
    <row r="47" spans="1:1" s="54" customFormat="1">
      <c r="A47" s="44"/>
    </row>
    <row r="48" spans="1:1" s="54" customFormat="1">
      <c r="A48" s="44"/>
    </row>
    <row r="49" spans="1:1" s="54" customFormat="1">
      <c r="A49" s="44"/>
    </row>
    <row r="50" spans="1:1" s="54" customFormat="1">
      <c r="A50" s="44"/>
    </row>
    <row r="51" spans="1:1" s="54" customFormat="1">
      <c r="A51" s="44"/>
    </row>
    <row r="52" spans="1:1" s="54" customFormat="1">
      <c r="A52" s="44"/>
    </row>
    <row r="53" spans="1:1" s="54" customFormat="1">
      <c r="A53" s="44"/>
    </row>
    <row r="54" spans="1:1" s="54" customFormat="1">
      <c r="A54" s="44"/>
    </row>
    <row r="55" spans="1:1" s="54" customFormat="1">
      <c r="A55" s="44"/>
    </row>
    <row r="56" spans="1:1" s="54" customFormat="1">
      <c r="A56" s="44"/>
    </row>
    <row r="57" spans="1:1" s="54" customFormat="1">
      <c r="A57" s="44"/>
    </row>
    <row r="58" spans="1:1" s="54" customFormat="1">
      <c r="A58" s="44"/>
    </row>
  </sheetData>
  <mergeCells count="1">
    <mergeCell ref="A7:I7"/>
  </mergeCells>
  <pageMargins left="0.2" right="0.2" top="0.5" bottom="0.5" header="0.3" footer="0.3"/>
  <pageSetup paperSize="9" scale="64" orientation="portrait" r:id="rId1"/>
</worksheet>
</file>

<file path=xl/worksheets/sheet16.xml><?xml version="1.0" encoding="utf-8"?>
<worksheet xmlns="http://schemas.openxmlformats.org/spreadsheetml/2006/main" xmlns:r="http://schemas.openxmlformats.org/officeDocument/2006/relationships">
  <dimension ref="A1:AS122"/>
  <sheetViews>
    <sheetView view="pageBreakPreview" zoomScaleNormal="100" zoomScaleSheetLayoutView="100" workbookViewId="0">
      <selection activeCell="C15" sqref="C15"/>
    </sheetView>
  </sheetViews>
  <sheetFormatPr defaultRowHeight="15"/>
  <cols>
    <col min="1" max="1" width="5.7109375" style="44" customWidth="1"/>
    <col min="2" max="2" width="52.85546875" style="44" customWidth="1"/>
    <col min="3" max="3" width="15.28515625" style="44" customWidth="1"/>
    <col min="4" max="4" width="14.140625" style="44" customWidth="1"/>
    <col min="5" max="5" width="12" style="44" customWidth="1"/>
    <col min="6" max="6" width="9.7109375" style="44" customWidth="1"/>
    <col min="7" max="7" width="10.85546875" style="44" bestFit="1" customWidth="1"/>
    <col min="8" max="8" width="10.5703125" style="44" bestFit="1" customWidth="1"/>
    <col min="9" max="16384" width="9.140625" style="44"/>
  </cols>
  <sheetData>
    <row r="1" spans="1:45" s="43" customFormat="1" ht="21">
      <c r="A1" s="1" t="s">
        <v>0</v>
      </c>
      <c r="B1"/>
      <c r="C1"/>
      <c r="D1" s="146"/>
      <c r="F1" s="58"/>
      <c r="G1" s="133"/>
      <c r="H1" s="189" t="s">
        <v>597</v>
      </c>
      <c r="I1"/>
      <c r="J1"/>
      <c r="K1"/>
      <c r="L1"/>
      <c r="M1"/>
      <c r="N1"/>
      <c r="O1"/>
      <c r="P1"/>
      <c r="Q1"/>
      <c r="R1"/>
      <c r="S1"/>
      <c r="T1"/>
      <c r="U1"/>
      <c r="V1"/>
      <c r="W1"/>
      <c r="X1"/>
      <c r="Y1"/>
      <c r="Z1"/>
      <c r="AA1"/>
      <c r="AB1"/>
      <c r="AC1"/>
      <c r="AD1"/>
      <c r="AE1"/>
      <c r="AF1"/>
      <c r="AG1"/>
      <c r="AH1"/>
      <c r="AI1"/>
    </row>
    <row r="2" spans="1:45" customFormat="1">
      <c r="D2" s="44"/>
      <c r="E2" s="44"/>
      <c r="F2" s="44"/>
      <c r="G2" s="44"/>
      <c r="H2" s="44"/>
    </row>
    <row r="3" spans="1:45" customFormat="1" ht="15.75">
      <c r="A3" s="4" t="s">
        <v>295</v>
      </c>
      <c r="C3" s="44"/>
      <c r="D3" s="44"/>
      <c r="E3" s="44"/>
      <c r="F3" s="85"/>
      <c r="G3" s="86" t="s">
        <v>2</v>
      </c>
      <c r="H3" s="86" t="s">
        <v>3</v>
      </c>
    </row>
    <row r="4" spans="1:45" customFormat="1" ht="15.75">
      <c r="A4" s="4" t="s">
        <v>21</v>
      </c>
      <c r="C4" s="44"/>
      <c r="D4" s="44"/>
      <c r="E4" s="44"/>
      <c r="F4" s="85" t="s">
        <v>5</v>
      </c>
      <c r="G4" s="85"/>
      <c r="H4" s="85"/>
    </row>
    <row r="5" spans="1:45" customFormat="1">
      <c r="A5" s="7"/>
      <c r="C5" s="44"/>
      <c r="D5" s="44"/>
      <c r="E5" s="44"/>
      <c r="F5" s="85" t="s">
        <v>6</v>
      </c>
      <c r="G5" s="85"/>
      <c r="H5" s="85"/>
    </row>
    <row r="6" spans="1:45" customFormat="1"/>
    <row r="7" spans="1:45" s="39" customFormat="1" ht="15.75">
      <c r="A7" s="4" t="s">
        <v>598</v>
      </c>
      <c r="B7"/>
      <c r="C7"/>
      <c r="D7"/>
      <c r="E7"/>
      <c r="F7"/>
      <c r="G7"/>
      <c r="H7"/>
      <c r="I7"/>
      <c r="J7"/>
      <c r="K7"/>
      <c r="L7"/>
      <c r="M7"/>
      <c r="N7"/>
      <c r="O7"/>
      <c r="P7"/>
      <c r="Q7"/>
      <c r="R7"/>
      <c r="S7"/>
      <c r="T7"/>
      <c r="U7"/>
      <c r="V7"/>
      <c r="W7"/>
      <c r="X7"/>
      <c r="Y7"/>
      <c r="Z7"/>
      <c r="AA7"/>
      <c r="AB7"/>
      <c r="AC7"/>
      <c r="AD7"/>
      <c r="AE7"/>
      <c r="AF7"/>
      <c r="AG7"/>
      <c r="AH7"/>
      <c r="AI7"/>
      <c r="AJ7"/>
      <c r="AK7"/>
      <c r="AL7"/>
      <c r="AM7"/>
      <c r="AN7"/>
      <c r="AO7"/>
      <c r="AP7"/>
      <c r="AQ7"/>
      <c r="AR7"/>
      <c r="AS7"/>
    </row>
    <row r="8" spans="1:45" s="39" customFormat="1">
      <c r="A8"/>
      <c r="B8"/>
      <c r="C8"/>
      <c r="D8"/>
      <c r="E8" s="58"/>
      <c r="F8" s="58"/>
      <c r="G8"/>
      <c r="H8"/>
      <c r="I8"/>
      <c r="J8"/>
      <c r="K8"/>
      <c r="L8"/>
      <c r="M8"/>
      <c r="N8"/>
      <c r="O8"/>
      <c r="P8"/>
      <c r="Q8"/>
      <c r="R8"/>
      <c r="S8"/>
      <c r="T8"/>
      <c r="U8"/>
      <c r="V8"/>
      <c r="W8"/>
      <c r="X8"/>
      <c r="Y8"/>
      <c r="Z8"/>
      <c r="AA8"/>
      <c r="AB8"/>
      <c r="AC8"/>
      <c r="AD8"/>
      <c r="AE8"/>
      <c r="AF8"/>
      <c r="AG8"/>
      <c r="AH8"/>
      <c r="AI8"/>
      <c r="AJ8"/>
      <c r="AK8"/>
      <c r="AL8"/>
      <c r="AM8"/>
      <c r="AN8"/>
      <c r="AO8"/>
      <c r="AP8"/>
      <c r="AQ8"/>
      <c r="AR8"/>
      <c r="AS8"/>
    </row>
    <row r="9" spans="1:45" s="39" customFormat="1">
      <c r="A9"/>
      <c r="B9"/>
      <c r="C9"/>
      <c r="D9"/>
      <c r="E9" s="133"/>
      <c r="F9" s="133"/>
      <c r="G9"/>
      <c r="H9"/>
      <c r="I9"/>
      <c r="J9"/>
      <c r="K9"/>
      <c r="L9"/>
      <c r="M9"/>
      <c r="N9"/>
      <c r="O9"/>
      <c r="P9"/>
      <c r="Q9"/>
      <c r="R9"/>
      <c r="S9"/>
      <c r="T9"/>
      <c r="U9"/>
      <c r="V9"/>
      <c r="W9"/>
      <c r="X9"/>
      <c r="Y9"/>
      <c r="Z9"/>
      <c r="AA9"/>
      <c r="AB9"/>
      <c r="AC9"/>
      <c r="AD9"/>
      <c r="AE9"/>
      <c r="AF9"/>
      <c r="AG9"/>
      <c r="AH9"/>
      <c r="AI9"/>
      <c r="AJ9"/>
      <c r="AK9"/>
      <c r="AL9"/>
      <c r="AM9"/>
      <c r="AN9"/>
      <c r="AO9"/>
      <c r="AP9"/>
      <c r="AQ9"/>
      <c r="AR9"/>
      <c r="AS9"/>
    </row>
    <row r="10" spans="1:45" s="39" customFormat="1">
      <c r="A10"/>
      <c r="B10"/>
      <c r="C10"/>
      <c r="D10"/>
      <c r="E10" s="2"/>
      <c r="F10" s="2"/>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row>
    <row r="11" spans="1:45" s="39" customFormat="1">
      <c r="A11"/>
      <c r="B11"/>
      <c r="C11"/>
      <c r="D11"/>
      <c r="E11" s="2"/>
      <c r="F11" s="2"/>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row>
    <row r="12" spans="1:45" s="39" customFormat="1">
      <c r="A12"/>
      <c r="B12"/>
      <c r="C12"/>
      <c r="D12"/>
      <c r="E12" s="2"/>
      <c r="F12" s="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row>
    <row r="13" spans="1:45" s="39" customFormat="1">
      <c r="A13"/>
      <c r="B13"/>
      <c r="C13"/>
      <c r="D13"/>
      <c r="E13" s="2"/>
      <c r="F13" s="2"/>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row>
    <row r="14" spans="1:45" s="39" customFormat="1">
      <c r="A14"/>
      <c r="B14"/>
      <c r="C14"/>
      <c r="D14"/>
      <c r="E14" s="2"/>
      <c r="F14" s="2"/>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row>
    <row r="15" spans="1:45" s="39" customFormat="1">
      <c r="A15"/>
      <c r="B15"/>
      <c r="C15"/>
      <c r="D15"/>
      <c r="E15" s="2"/>
      <c r="F15" s="2"/>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row>
    <row r="16" spans="1:45" s="39" customFormat="1">
      <c r="A16"/>
      <c r="B16"/>
      <c r="C16"/>
      <c r="D16"/>
      <c r="E16" s="2"/>
      <c r="F16" s="2"/>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row>
    <row r="17" spans="1:45" s="39" customFormat="1">
      <c r="A17"/>
      <c r="B17"/>
      <c r="C17"/>
      <c r="D17"/>
      <c r="E17" s="2"/>
      <c r="F17" s="2"/>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row>
    <row r="18" spans="1:45" s="39" customFormat="1">
      <c r="A18"/>
      <c r="B18"/>
      <c r="C18"/>
      <c r="D18"/>
      <c r="E18" s="2"/>
      <c r="F18" s="2"/>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row>
    <row r="19" spans="1:45" s="39" customFormat="1">
      <c r="A19"/>
      <c r="B19"/>
      <c r="C19"/>
      <c r="D19"/>
      <c r="E19" s="2"/>
      <c r="F19" s="2"/>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row>
    <row r="20" spans="1:45" s="39" customFormat="1">
      <c r="A20"/>
      <c r="B20"/>
      <c r="C20"/>
      <c r="D20"/>
      <c r="E20" s="2"/>
      <c r="F20" s="2"/>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row>
    <row r="21" spans="1:45" s="39" customFormat="1">
      <c r="A21"/>
      <c r="B21"/>
      <c r="C21"/>
      <c r="D21"/>
      <c r="E21" s="2"/>
      <c r="F21" s="2"/>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row>
    <row r="22" spans="1:45" s="39" customFormat="1">
      <c r="A22"/>
      <c r="B22"/>
      <c r="C22"/>
      <c r="D22"/>
      <c r="E22" s="2"/>
      <c r="F22" s="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row>
    <row r="23" spans="1:45" s="39" customFormat="1">
      <c r="A23"/>
      <c r="B23"/>
      <c r="C23"/>
      <c r="D23"/>
      <c r="E23" s="2"/>
      <c r="F23" s="2"/>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row>
    <row r="24" spans="1:45" s="39" customFormat="1">
      <c r="A24"/>
      <c r="B24"/>
      <c r="C24"/>
      <c r="D24"/>
      <c r="E24" s="133"/>
      <c r="F24" s="2"/>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row>
    <row r="25" spans="1:45" s="39" customFormat="1">
      <c r="A25"/>
      <c r="B25"/>
      <c r="C25"/>
      <c r="D25"/>
      <c r="E25" s="133"/>
      <c r="F25" s="2"/>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row>
    <row r="26" spans="1:45" s="39" customFormat="1">
      <c r="A26"/>
      <c r="B26"/>
      <c r="C26"/>
      <c r="D26"/>
      <c r="E26" s="133"/>
      <c r="F26" s="2"/>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row>
    <row r="27" spans="1:45" s="39" customFormat="1">
      <c r="A27" s="9" t="s">
        <v>92</v>
      </c>
      <c r="B27"/>
      <c r="C27"/>
      <c r="D27"/>
      <c r="E27" s="33"/>
      <c r="F27" s="33"/>
      <c r="G27" s="2" t="s">
        <v>359</v>
      </c>
      <c r="H27" s="561" t="s">
        <v>353</v>
      </c>
      <c r="I27"/>
      <c r="J27"/>
      <c r="K27"/>
      <c r="L27"/>
      <c r="M27"/>
      <c r="N27"/>
      <c r="O27"/>
      <c r="P27"/>
      <c r="Q27"/>
      <c r="R27"/>
      <c r="S27"/>
      <c r="T27"/>
      <c r="U27"/>
      <c r="V27"/>
      <c r="W27"/>
      <c r="X27"/>
      <c r="Y27"/>
      <c r="Z27"/>
      <c r="AA27"/>
      <c r="AB27"/>
      <c r="AC27"/>
      <c r="AD27"/>
      <c r="AE27"/>
      <c r="AF27"/>
      <c r="AG27"/>
      <c r="AH27"/>
      <c r="AI27"/>
      <c r="AJ27"/>
      <c r="AK27"/>
      <c r="AL27"/>
      <c r="AM27"/>
      <c r="AN27"/>
      <c r="AO27"/>
      <c r="AP27"/>
      <c r="AQ27"/>
      <c r="AR27"/>
      <c r="AS27"/>
    </row>
    <row r="28" spans="1:45" s="39" customFormat="1">
      <c r="A28"/>
      <c r="B28"/>
      <c r="C28"/>
      <c r="D28"/>
      <c r="E28" s="133"/>
      <c r="F28"/>
      <c r="G28" s="2"/>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row>
    <row r="29" spans="1:45" s="39" customFormat="1">
      <c r="A29" s="116">
        <v>1.1000000000000001</v>
      </c>
      <c r="B29" s="162" t="s">
        <v>466</v>
      </c>
      <c r="C29" s="132"/>
      <c r="D29" s="132"/>
      <c r="E29" s="133"/>
      <c r="F29"/>
      <c r="G29" s="190" t="s">
        <v>24</v>
      </c>
      <c r="H29" s="190" t="s">
        <v>24</v>
      </c>
      <c r="I29"/>
      <c r="J29"/>
      <c r="K29"/>
      <c r="L29"/>
      <c r="M29"/>
      <c r="N29"/>
      <c r="O29"/>
      <c r="P29"/>
      <c r="Q29"/>
      <c r="R29"/>
      <c r="S29"/>
      <c r="T29"/>
      <c r="U29"/>
      <c r="V29"/>
      <c r="W29"/>
      <c r="X29"/>
      <c r="Y29"/>
      <c r="Z29"/>
      <c r="AA29"/>
      <c r="AB29"/>
      <c r="AC29"/>
      <c r="AD29"/>
      <c r="AE29"/>
      <c r="AF29"/>
      <c r="AG29"/>
      <c r="AH29"/>
      <c r="AI29"/>
      <c r="AJ29"/>
      <c r="AK29"/>
      <c r="AL29"/>
      <c r="AM29"/>
      <c r="AN29"/>
      <c r="AO29"/>
      <c r="AP29"/>
      <c r="AQ29"/>
      <c r="AR29"/>
      <c r="AS29"/>
    </row>
    <row r="30" spans="1:45" s="39" customFormat="1">
      <c r="A30" s="29"/>
      <c r="B30" s="162" t="s">
        <v>467</v>
      </c>
      <c r="C30" s="132"/>
      <c r="D30" s="132"/>
      <c r="E30" s="133"/>
      <c r="F30" s="135"/>
      <c r="G30" s="98"/>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row>
    <row r="31" spans="1:45" customFormat="1">
      <c r="A31" s="46"/>
      <c r="B31" s="562" t="s">
        <v>415</v>
      </c>
      <c r="C31" s="44"/>
      <c r="D31" s="44"/>
      <c r="E31" s="8"/>
      <c r="F31" s="8"/>
      <c r="G31" s="44"/>
    </row>
    <row r="32" spans="1:45" customFormat="1">
      <c r="A32" s="46"/>
      <c r="B32" s="562"/>
      <c r="C32" s="44"/>
      <c r="D32" s="44"/>
      <c r="E32" s="8"/>
      <c r="F32" s="8"/>
      <c r="G32" s="44"/>
    </row>
    <row r="33" spans="1:8" customFormat="1">
      <c r="A33" s="116">
        <v>1.2</v>
      </c>
      <c r="B33" s="162" t="s">
        <v>307</v>
      </c>
      <c r="C33" s="44"/>
      <c r="D33" s="44"/>
      <c r="E33" s="8"/>
      <c r="F33" s="8"/>
      <c r="G33" s="190" t="s">
        <v>24</v>
      </c>
      <c r="H33" s="190" t="s">
        <v>24</v>
      </c>
    </row>
    <row r="34" spans="1:8" customFormat="1">
      <c r="A34" s="46"/>
      <c r="B34" s="162" t="s">
        <v>302</v>
      </c>
      <c r="C34" s="44"/>
      <c r="D34" s="44"/>
      <c r="E34" s="8"/>
      <c r="F34" s="8"/>
      <c r="G34" s="44"/>
    </row>
    <row r="35" spans="1:8" customFormat="1">
      <c r="A35" s="46"/>
      <c r="B35" s="562" t="s">
        <v>415</v>
      </c>
      <c r="C35" s="44"/>
      <c r="D35" s="44"/>
      <c r="E35" s="8"/>
      <c r="F35" s="8"/>
      <c r="G35" s="44"/>
    </row>
    <row r="36" spans="1:8" customFormat="1">
      <c r="A36" s="46"/>
      <c r="B36" s="243" t="s">
        <v>304</v>
      </c>
      <c r="C36" s="44"/>
      <c r="D36" s="44"/>
      <c r="E36" s="8"/>
      <c r="F36" s="8"/>
      <c r="G36" s="190" t="s">
        <v>24</v>
      </c>
      <c r="H36" s="190" t="s">
        <v>24</v>
      </c>
    </row>
    <row r="37" spans="1:8" customFormat="1">
      <c r="A37" s="46"/>
      <c r="B37" s="243" t="s">
        <v>306</v>
      </c>
      <c r="C37" s="44"/>
      <c r="D37" s="44"/>
      <c r="E37" s="8"/>
      <c r="F37" s="8"/>
      <c r="G37" s="44"/>
    </row>
    <row r="38" spans="1:8" customFormat="1">
      <c r="A38" s="46"/>
      <c r="B38" s="243"/>
      <c r="C38" s="44"/>
      <c r="D38" s="44"/>
      <c r="E38" s="8"/>
      <c r="F38" s="8"/>
      <c r="G38" s="44"/>
    </row>
    <row r="39" spans="1:8" customFormat="1">
      <c r="A39" s="46"/>
      <c r="B39" s="162" t="s">
        <v>303</v>
      </c>
      <c r="C39" s="44"/>
      <c r="D39" s="44"/>
      <c r="E39" s="8"/>
      <c r="F39" s="8"/>
      <c r="G39" s="190" t="s">
        <v>24</v>
      </c>
      <c r="H39" s="190" t="s">
        <v>24</v>
      </c>
    </row>
    <row r="40" spans="1:8" customFormat="1">
      <c r="A40" s="46"/>
      <c r="B40" s="162" t="s">
        <v>305</v>
      </c>
      <c r="C40" s="44"/>
      <c r="D40" s="44"/>
      <c r="E40" s="8"/>
      <c r="F40" s="8"/>
      <c r="G40" s="44"/>
    </row>
    <row r="41" spans="1:8" customFormat="1">
      <c r="A41" s="46"/>
      <c r="B41" s="162" t="s">
        <v>309</v>
      </c>
      <c r="C41" s="44"/>
      <c r="D41" s="44"/>
      <c r="E41" s="8"/>
      <c r="F41" s="8"/>
      <c r="G41" s="44"/>
    </row>
    <row r="42" spans="1:8" customFormat="1">
      <c r="A42" s="46"/>
      <c r="B42" s="243"/>
      <c r="C42" s="44"/>
      <c r="D42" s="44"/>
      <c r="E42" s="8"/>
      <c r="F42" s="8"/>
      <c r="G42" s="44"/>
    </row>
    <row r="43" spans="1:8" customFormat="1">
      <c r="A43" s="116">
        <v>1.3</v>
      </c>
      <c r="B43" s="95" t="s">
        <v>477</v>
      </c>
      <c r="C43" s="44"/>
      <c r="D43" s="44"/>
      <c r="E43" s="8"/>
      <c r="F43" s="8"/>
      <c r="G43" s="190" t="s">
        <v>24</v>
      </c>
      <c r="H43" s="190" t="s">
        <v>24</v>
      </c>
    </row>
    <row r="44" spans="1:8" customFormat="1">
      <c r="A44" s="46"/>
      <c r="B44" s="162" t="s">
        <v>476</v>
      </c>
      <c r="C44" s="44"/>
      <c r="D44" s="44"/>
      <c r="E44" s="8"/>
      <c r="F44" s="8"/>
      <c r="G44" s="44"/>
    </row>
    <row r="45" spans="1:8" customFormat="1">
      <c r="A45" s="46"/>
      <c r="B45" s="162"/>
      <c r="C45" s="44"/>
      <c r="D45" s="44"/>
      <c r="E45" s="8"/>
      <c r="F45" s="8"/>
      <c r="G45" s="44"/>
    </row>
    <row r="46" spans="1:8" customFormat="1">
      <c r="A46" s="46"/>
      <c r="B46" s="162" t="s">
        <v>472</v>
      </c>
      <c r="C46" s="44"/>
      <c r="D46" s="44"/>
      <c r="E46" s="8"/>
      <c r="F46" s="8"/>
      <c r="G46" s="190" t="s">
        <v>24</v>
      </c>
      <c r="H46" s="190" t="s">
        <v>24</v>
      </c>
    </row>
    <row r="47" spans="1:8" customFormat="1">
      <c r="A47" s="46"/>
      <c r="B47" s="162"/>
      <c r="C47" s="44"/>
      <c r="D47" s="44"/>
      <c r="E47" s="8"/>
      <c r="F47" s="8"/>
      <c r="G47" s="44"/>
    </row>
    <row r="48" spans="1:8" customFormat="1">
      <c r="A48" s="46"/>
      <c r="B48" s="162" t="s">
        <v>473</v>
      </c>
      <c r="C48" s="44"/>
      <c r="D48" s="44"/>
      <c r="E48" s="8"/>
      <c r="F48" s="8"/>
      <c r="G48" s="190" t="s">
        <v>24</v>
      </c>
      <c r="H48" s="190" t="s">
        <v>24</v>
      </c>
    </row>
    <row r="49" spans="1:45" customFormat="1">
      <c r="A49" s="46"/>
      <c r="B49" s="162" t="s">
        <v>300</v>
      </c>
      <c r="C49" s="44"/>
      <c r="D49" s="44"/>
      <c r="E49" s="8"/>
      <c r="F49" s="8"/>
      <c r="G49" s="44"/>
    </row>
    <row r="50" spans="1:45" customFormat="1">
      <c r="A50" s="46"/>
      <c r="B50" s="162"/>
      <c r="C50" s="44"/>
      <c r="D50" s="44"/>
      <c r="E50" s="8"/>
      <c r="F50" s="8"/>
      <c r="G50" s="44"/>
    </row>
    <row r="51" spans="1:45" customFormat="1">
      <c r="A51" s="46"/>
      <c r="B51" s="162" t="s">
        <v>474</v>
      </c>
      <c r="C51" s="44"/>
      <c r="D51" s="44"/>
      <c r="E51" s="8"/>
      <c r="F51" s="8"/>
      <c r="G51" s="190" t="s">
        <v>24</v>
      </c>
      <c r="H51" s="190" t="s">
        <v>24</v>
      </c>
    </row>
    <row r="52" spans="1:45" customFormat="1">
      <c r="A52" s="46"/>
      <c r="B52" s="162" t="s">
        <v>475</v>
      </c>
      <c r="C52" s="44"/>
      <c r="D52" s="44"/>
      <c r="E52" s="8"/>
      <c r="F52" s="8"/>
      <c r="G52" s="44"/>
    </row>
    <row r="53" spans="1:45" customFormat="1">
      <c r="A53" s="46"/>
      <c r="B53" s="162"/>
      <c r="C53" s="44"/>
      <c r="D53" s="44"/>
      <c r="E53" s="8"/>
      <c r="F53" s="8"/>
      <c r="G53" s="44"/>
    </row>
    <row r="54" spans="1:45" s="39" customFormat="1">
      <c r="A54" s="116">
        <v>1.4</v>
      </c>
      <c r="B54" s="162" t="s">
        <v>308</v>
      </c>
      <c r="C54"/>
      <c r="D54"/>
      <c r="E54"/>
      <c r="F54" s="33"/>
      <c r="G54" s="190" t="s">
        <v>24</v>
      </c>
      <c r="H54" s="190" t="s">
        <v>24</v>
      </c>
      <c r="I54"/>
      <c r="J54"/>
      <c r="K54"/>
      <c r="L54"/>
      <c r="M54"/>
      <c r="N54"/>
      <c r="O54"/>
      <c r="P54"/>
      <c r="Q54"/>
      <c r="R54"/>
      <c r="S54"/>
      <c r="T54"/>
      <c r="U54"/>
      <c r="V54"/>
      <c r="W54"/>
      <c r="X54"/>
      <c r="Y54"/>
      <c r="Z54"/>
      <c r="AA54"/>
      <c r="AB54"/>
      <c r="AC54"/>
      <c r="AD54"/>
      <c r="AE54"/>
      <c r="AF54"/>
      <c r="AG54"/>
      <c r="AH54"/>
      <c r="AI54"/>
      <c r="AJ54"/>
      <c r="AK54"/>
      <c r="AL54"/>
      <c r="AM54"/>
      <c r="AN54"/>
      <c r="AO54"/>
      <c r="AP54"/>
      <c r="AQ54"/>
      <c r="AR54"/>
      <c r="AS54"/>
    </row>
    <row r="55" spans="1:45" s="39" customFormat="1">
      <c r="A55" s="12"/>
      <c r="B55" s="162" t="s">
        <v>478</v>
      </c>
      <c r="C55"/>
      <c r="D55"/>
      <c r="E55"/>
      <c r="F55" s="33"/>
      <c r="G55" s="98"/>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row>
    <row r="56" spans="1:45" s="39" customFormat="1">
      <c r="A56" s="12"/>
      <c r="B56" s="162" t="s">
        <v>600</v>
      </c>
      <c r="C56"/>
      <c r="D56"/>
      <c r="E56"/>
      <c r="F56" s="33"/>
      <c r="G56" s="98"/>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row>
    <row r="57" spans="1:45" s="39" customFormat="1">
      <c r="A57" s="29"/>
      <c r="B57" s="21"/>
      <c r="C57" s="132"/>
      <c r="D57" s="132"/>
      <c r="E57" s="133"/>
      <c r="F57" s="33"/>
      <c r="G57" s="190"/>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row>
    <row r="58" spans="1:45" s="39" customFormat="1">
      <c r="A58" s="116">
        <v>1.5</v>
      </c>
      <c r="B58" s="162" t="s">
        <v>312</v>
      </c>
      <c r="C58" s="132"/>
      <c r="D58" s="132"/>
      <c r="E58" s="133"/>
      <c r="F58" s="33"/>
      <c r="G58" s="190" t="s">
        <v>24</v>
      </c>
      <c r="H58" s="190" t="s">
        <v>24</v>
      </c>
      <c r="I58"/>
      <c r="J58"/>
      <c r="K58"/>
      <c r="L58"/>
      <c r="M58"/>
      <c r="N58"/>
      <c r="O58"/>
      <c r="P58"/>
      <c r="Q58"/>
      <c r="R58"/>
      <c r="S58"/>
      <c r="T58"/>
      <c r="U58"/>
      <c r="V58"/>
      <c r="W58"/>
      <c r="X58"/>
      <c r="Y58"/>
      <c r="Z58"/>
      <c r="AA58"/>
      <c r="AB58"/>
      <c r="AC58"/>
      <c r="AD58"/>
      <c r="AE58"/>
      <c r="AF58"/>
      <c r="AG58"/>
      <c r="AH58"/>
      <c r="AI58"/>
      <c r="AJ58"/>
      <c r="AK58"/>
      <c r="AL58"/>
      <c r="AM58"/>
      <c r="AN58"/>
      <c r="AO58"/>
      <c r="AP58"/>
      <c r="AQ58"/>
      <c r="AR58"/>
      <c r="AS58"/>
    </row>
    <row r="59" spans="1:45" s="39" customFormat="1">
      <c r="A59" s="29"/>
      <c r="B59" s="162" t="s">
        <v>297</v>
      </c>
      <c r="C59" s="132"/>
      <c r="D59" s="132"/>
      <c r="E59" s="133"/>
      <c r="F59" s="33"/>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row>
    <row r="60" spans="1:45" s="39" customFormat="1">
      <c r="A60" s="29"/>
      <c r="B60" s="162" t="s">
        <v>298</v>
      </c>
      <c r="C60" s="132"/>
      <c r="D60" s="132"/>
      <c r="E60" s="133"/>
      <c r="F60" s="33"/>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row>
    <row r="61" spans="1:45" s="39" customFormat="1">
      <c r="A61" s="29"/>
      <c r="B61" s="562" t="s">
        <v>415</v>
      </c>
      <c r="C61" s="132"/>
      <c r="D61" s="132"/>
      <c r="E61" s="133"/>
      <c r="F61" s="33"/>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row>
    <row r="62" spans="1:45" s="39" customFormat="1">
      <c r="A62" s="29"/>
      <c r="B62" s="162"/>
      <c r="C62" s="132"/>
      <c r="D62" s="132"/>
      <c r="E62" s="133"/>
      <c r="F62" s="33"/>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row>
    <row r="63" spans="1:45" s="39" customFormat="1">
      <c r="A63" s="9" t="s">
        <v>8</v>
      </c>
      <c r="B63"/>
      <c r="C63"/>
      <c r="D63"/>
      <c r="E63"/>
      <c r="F63" s="3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row>
    <row r="64" spans="1:45" s="39" customFormat="1">
      <c r="A64" s="9"/>
      <c r="B64"/>
      <c r="C64"/>
      <c r="D64"/>
      <c r="E64"/>
      <c r="F64" s="33"/>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row>
    <row r="65" spans="1:45" s="39" customFormat="1">
      <c r="A65" s="230" t="s">
        <v>127</v>
      </c>
      <c r="B65"/>
      <c r="C65"/>
      <c r="D65"/>
      <c r="E65"/>
      <c r="F65" s="33"/>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row>
    <row r="66" spans="1:45" customFormat="1">
      <c r="A66" s="9"/>
      <c r="F66" s="33"/>
    </row>
    <row r="67" spans="1:45" s="95" customFormat="1">
      <c r="A67" s="47" t="s">
        <v>9</v>
      </c>
      <c r="B67" s="48" t="s">
        <v>18</v>
      </c>
      <c r="C67" s="47" t="s">
        <v>11</v>
      </c>
      <c r="D67" s="47" t="s">
        <v>12</v>
      </c>
      <c r="E67" s="49" t="s">
        <v>13</v>
      </c>
      <c r="F67" s="33"/>
    </row>
    <row r="68" spans="1:45" s="95" customFormat="1" ht="25.5">
      <c r="A68" s="51">
        <v>1</v>
      </c>
      <c r="B68" s="128" t="s">
        <v>161</v>
      </c>
      <c r="C68" s="129"/>
      <c r="D68" s="127" t="s">
        <v>63</v>
      </c>
      <c r="E68" s="130"/>
      <c r="F68" s="33"/>
    </row>
    <row r="69" spans="1:45" s="95" customFormat="1">
      <c r="A69" s="127">
        <v>2</v>
      </c>
      <c r="B69" s="128" t="s">
        <v>126</v>
      </c>
      <c r="C69" s="131"/>
      <c r="D69" s="127" t="s">
        <v>599</v>
      </c>
      <c r="E69" s="127"/>
      <c r="F69" s="33"/>
    </row>
    <row r="70" spans="1:45" s="95" customFormat="1">
      <c r="A70" s="127">
        <v>3</v>
      </c>
      <c r="B70" s="128" t="s">
        <v>125</v>
      </c>
      <c r="C70" s="131"/>
      <c r="D70" s="127"/>
      <c r="E70" s="130"/>
      <c r="F70" s="33"/>
    </row>
    <row r="71" spans="1:45" s="95" customFormat="1">
      <c r="A71" s="191" t="s">
        <v>60</v>
      </c>
      <c r="B71" s="128" t="s">
        <v>601</v>
      </c>
      <c r="C71" s="223"/>
      <c r="D71" s="152"/>
      <c r="E71" s="152"/>
      <c r="F71" s="33"/>
    </row>
    <row r="72" spans="1:45" s="95" customFormat="1" ht="25.5">
      <c r="A72" s="191" t="s">
        <v>61</v>
      </c>
      <c r="B72" s="128" t="s">
        <v>301</v>
      </c>
      <c r="C72" s="151"/>
      <c r="D72" s="152"/>
      <c r="E72" s="152"/>
      <c r="F72" s="33"/>
    </row>
    <row r="73" spans="1:45" customFormat="1">
      <c r="A73" s="60"/>
      <c r="B73" s="55"/>
      <c r="C73" s="61"/>
      <c r="D73" s="17"/>
      <c r="E73" s="8"/>
      <c r="F73" s="33"/>
    </row>
    <row r="74" spans="1:45" customFormat="1">
      <c r="A74" s="230" t="s">
        <v>128</v>
      </c>
      <c r="B74" s="55"/>
      <c r="C74" s="61"/>
      <c r="D74" s="17"/>
      <c r="E74" s="8"/>
      <c r="F74" s="33"/>
    </row>
    <row r="75" spans="1:45" customFormat="1">
      <c r="A75" s="9"/>
      <c r="B75" s="55"/>
      <c r="C75" s="61"/>
      <c r="D75" s="17"/>
      <c r="E75" s="8"/>
      <c r="F75" s="33"/>
    </row>
    <row r="76" spans="1:45" customFormat="1">
      <c r="A76" s="47" t="s">
        <v>9</v>
      </c>
      <c r="B76" s="48" t="s">
        <v>18</v>
      </c>
      <c r="C76" s="47" t="s">
        <v>11</v>
      </c>
      <c r="D76" s="47" t="s">
        <v>12</v>
      </c>
      <c r="E76" s="49" t="s">
        <v>13</v>
      </c>
      <c r="F76" s="33"/>
    </row>
    <row r="77" spans="1:45" customFormat="1" ht="25.5">
      <c r="A77" s="51">
        <v>1</v>
      </c>
      <c r="B77" s="128" t="s">
        <v>129</v>
      </c>
      <c r="C77" s="129"/>
      <c r="D77" s="127" t="s">
        <v>63</v>
      </c>
      <c r="E77" s="130"/>
      <c r="F77" s="33"/>
    </row>
    <row r="78" spans="1:45" customFormat="1" ht="25.5">
      <c r="A78" s="127">
        <v>2</v>
      </c>
      <c r="B78" s="128" t="s">
        <v>130</v>
      </c>
      <c r="C78" s="131"/>
      <c r="D78" s="127" t="s">
        <v>599</v>
      </c>
      <c r="E78" s="127"/>
      <c r="F78" s="33"/>
    </row>
    <row r="79" spans="1:45" customFormat="1">
      <c r="A79" s="127">
        <v>3</v>
      </c>
      <c r="B79" s="128" t="s">
        <v>125</v>
      </c>
      <c r="C79" s="131"/>
      <c r="D79" s="127"/>
      <c r="E79" s="130"/>
      <c r="F79" s="33"/>
    </row>
    <row r="80" spans="1:45" customFormat="1">
      <c r="A80" s="191" t="s">
        <v>60</v>
      </c>
      <c r="B80" s="128" t="s">
        <v>601</v>
      </c>
      <c r="C80" s="223"/>
      <c r="D80" s="152"/>
      <c r="E80" s="152"/>
      <c r="F80" s="33"/>
    </row>
    <row r="81" spans="1:37" customFormat="1" ht="25.5">
      <c r="A81" s="191" t="s">
        <v>61</v>
      </c>
      <c r="B81" s="128" t="s">
        <v>301</v>
      </c>
      <c r="C81" s="151"/>
      <c r="D81" s="152"/>
      <c r="E81" s="152"/>
      <c r="F81" s="33"/>
    </row>
    <row r="82" spans="1:37" customFormat="1">
      <c r="A82" s="23"/>
      <c r="F82" s="33"/>
    </row>
    <row r="83" spans="1:37" s="254" customFormat="1">
      <c r="A83" s="82"/>
      <c r="B83" s="621" t="s">
        <v>636</v>
      </c>
      <c r="C83" s="625">
        <f>C72+C81</f>
        <v>0</v>
      </c>
      <c r="D83" s="622"/>
      <c r="E83" s="622"/>
      <c r="F83" s="623"/>
    </row>
    <row r="84" spans="1:37" customFormat="1">
      <c r="A84" s="23"/>
      <c r="F84" s="33"/>
    </row>
    <row r="85" spans="1:37" customFormat="1">
      <c r="A85" s="9" t="s">
        <v>15</v>
      </c>
      <c r="F85" s="33"/>
    </row>
    <row r="86" spans="1:37" customFormat="1">
      <c r="A86" s="182" t="s">
        <v>637</v>
      </c>
      <c r="F86" s="33"/>
    </row>
    <row r="87" spans="1:37" s="54" customFormat="1">
      <c r="G87" s="8"/>
      <c r="H87"/>
      <c r="I87"/>
      <c r="J87"/>
      <c r="K87"/>
      <c r="L87"/>
      <c r="M87"/>
      <c r="N87"/>
      <c r="O87"/>
      <c r="P87"/>
      <c r="Q87"/>
      <c r="R87"/>
      <c r="S87"/>
      <c r="T87"/>
      <c r="U87"/>
      <c r="V87"/>
      <c r="W87"/>
      <c r="X87"/>
      <c r="Y87"/>
      <c r="Z87"/>
      <c r="AA87"/>
      <c r="AB87"/>
      <c r="AC87"/>
      <c r="AD87"/>
      <c r="AE87"/>
      <c r="AF87"/>
      <c r="AG87"/>
      <c r="AH87"/>
      <c r="AI87"/>
      <c r="AJ87"/>
      <c r="AK87"/>
    </row>
    <row r="88" spans="1:37" s="54" customFormat="1">
      <c r="G88" s="8"/>
      <c r="H88"/>
      <c r="I88"/>
      <c r="J88"/>
      <c r="K88"/>
      <c r="L88"/>
      <c r="M88"/>
      <c r="N88"/>
      <c r="O88"/>
      <c r="P88"/>
      <c r="Q88"/>
      <c r="R88"/>
      <c r="S88"/>
      <c r="T88"/>
      <c r="U88"/>
      <c r="V88"/>
      <c r="W88"/>
      <c r="X88"/>
      <c r="Y88"/>
      <c r="Z88"/>
      <c r="AA88"/>
      <c r="AB88"/>
      <c r="AC88"/>
      <c r="AD88"/>
      <c r="AE88"/>
      <c r="AF88"/>
      <c r="AG88"/>
      <c r="AH88"/>
      <c r="AI88"/>
      <c r="AJ88"/>
      <c r="AK88"/>
    </row>
    <row r="89" spans="1:37" s="54" customFormat="1"/>
    <row r="90" spans="1:37" s="54" customFormat="1"/>
    <row r="91" spans="1:37" s="54" customFormat="1"/>
    <row r="92" spans="1:37" s="54" customFormat="1"/>
    <row r="93" spans="1:37" s="54" customFormat="1"/>
    <row r="94" spans="1:37" s="54" customFormat="1"/>
    <row r="95" spans="1:37" s="54" customFormat="1"/>
    <row r="96" spans="1:37" s="54" customFormat="1"/>
    <row r="97" spans="1:1" s="54" customFormat="1">
      <c r="A97" s="44"/>
    </row>
    <row r="98" spans="1:1" s="54" customFormat="1">
      <c r="A98" s="44"/>
    </row>
    <row r="99" spans="1:1" s="54" customFormat="1">
      <c r="A99" s="44"/>
    </row>
    <row r="100" spans="1:1" s="54" customFormat="1">
      <c r="A100" s="44"/>
    </row>
    <row r="101" spans="1:1" s="54" customFormat="1">
      <c r="A101" s="44"/>
    </row>
    <row r="102" spans="1:1" s="54" customFormat="1">
      <c r="A102" s="44"/>
    </row>
    <row r="103" spans="1:1" s="54" customFormat="1">
      <c r="A103" s="44"/>
    </row>
    <row r="104" spans="1:1" s="54" customFormat="1">
      <c r="A104" s="44"/>
    </row>
    <row r="105" spans="1:1" s="54" customFormat="1">
      <c r="A105" s="44"/>
    </row>
    <row r="106" spans="1:1" s="54" customFormat="1">
      <c r="A106" s="44"/>
    </row>
    <row r="107" spans="1:1" s="54" customFormat="1">
      <c r="A107" s="44"/>
    </row>
    <row r="108" spans="1:1" s="54" customFormat="1">
      <c r="A108" s="44"/>
    </row>
    <row r="109" spans="1:1" s="54" customFormat="1">
      <c r="A109" s="44"/>
    </row>
    <row r="110" spans="1:1" s="54" customFormat="1">
      <c r="A110" s="44"/>
    </row>
    <row r="111" spans="1:1" s="54" customFormat="1">
      <c r="A111" s="44"/>
    </row>
    <row r="112" spans="1:1" s="54" customFormat="1">
      <c r="A112" s="44"/>
    </row>
    <row r="113" spans="1:1" s="54" customFormat="1">
      <c r="A113" s="44"/>
    </row>
    <row r="114" spans="1:1" s="54" customFormat="1">
      <c r="A114" s="44"/>
    </row>
    <row r="115" spans="1:1" s="54" customFormat="1">
      <c r="A115" s="44"/>
    </row>
    <row r="116" spans="1:1" s="54" customFormat="1">
      <c r="A116" s="44"/>
    </row>
    <row r="117" spans="1:1" s="54" customFormat="1">
      <c r="A117" s="44"/>
    </row>
    <row r="118" spans="1:1" s="54" customFormat="1">
      <c r="A118" s="44"/>
    </row>
    <row r="119" spans="1:1" s="54" customFormat="1">
      <c r="A119" s="44"/>
    </row>
    <row r="120" spans="1:1" s="54" customFormat="1">
      <c r="A120" s="44"/>
    </row>
    <row r="121" spans="1:1" s="54" customFormat="1">
      <c r="A121" s="44"/>
    </row>
    <row r="122" spans="1:1" s="54" customFormat="1">
      <c r="A122" s="44"/>
    </row>
  </sheetData>
  <printOptions horizontalCentered="1"/>
  <pageMargins left="0.5" right="0.5" top="0.5" bottom="0.5" header="0.5" footer="0.5"/>
  <pageSetup paperSize="9" scale="69" orientation="portrait" r:id="rId1"/>
  <rowBreaks count="1" manualBreakCount="1">
    <brk id="72" max="7" man="1"/>
  </rowBreaks>
  <drawing r:id="rId2"/>
</worksheet>
</file>

<file path=xl/worksheets/sheet17.xml><?xml version="1.0" encoding="utf-8"?>
<worksheet xmlns="http://schemas.openxmlformats.org/spreadsheetml/2006/main" xmlns:r="http://schemas.openxmlformats.org/officeDocument/2006/relationships">
  <dimension ref="A1:I75"/>
  <sheetViews>
    <sheetView view="pageBreakPreview" zoomScaleNormal="100" zoomScaleSheetLayoutView="100" workbookViewId="0">
      <selection activeCell="E62" sqref="E62"/>
    </sheetView>
  </sheetViews>
  <sheetFormatPr defaultRowHeight="15"/>
  <cols>
    <col min="1" max="1" width="5.42578125" style="44" customWidth="1"/>
    <col min="2" max="2" width="20" style="44" customWidth="1"/>
    <col min="3" max="3" width="18.85546875" style="44" bestFit="1" customWidth="1"/>
    <col min="4" max="4" width="12.7109375" style="44" bestFit="1" customWidth="1"/>
    <col min="5" max="5" width="13.7109375" style="44" customWidth="1"/>
    <col min="6" max="6" width="14.28515625" style="44" bestFit="1" customWidth="1"/>
    <col min="7" max="16384" width="9.140625" style="44"/>
  </cols>
  <sheetData>
    <row r="1" spans="1:9" s="43" customFormat="1" ht="21">
      <c r="A1" s="1" t="s">
        <v>0</v>
      </c>
      <c r="B1"/>
      <c r="C1"/>
      <c r="D1"/>
      <c r="E1"/>
      <c r="F1" s="133" t="s">
        <v>599</v>
      </c>
    </row>
    <row r="2" spans="1:9" customFormat="1">
      <c r="A2" s="44"/>
      <c r="F2" s="33"/>
      <c r="I2" s="3"/>
    </row>
    <row r="3" spans="1:9" customFormat="1" ht="15.75">
      <c r="A3" s="4" t="s">
        <v>20</v>
      </c>
      <c r="C3" s="44"/>
      <c r="D3" s="85"/>
      <c r="E3" s="86" t="s">
        <v>2</v>
      </c>
      <c r="F3" s="86" t="s">
        <v>3</v>
      </c>
    </row>
    <row r="4" spans="1:9" customFormat="1" ht="15.75">
      <c r="A4" s="4" t="s">
        <v>21</v>
      </c>
      <c r="C4" s="44"/>
      <c r="D4" s="85" t="s">
        <v>5</v>
      </c>
      <c r="E4" s="85"/>
      <c r="F4" s="85"/>
    </row>
    <row r="5" spans="1:9" customFormat="1">
      <c r="A5" s="7"/>
      <c r="C5" s="44"/>
      <c r="D5" s="85" t="s">
        <v>6</v>
      </c>
      <c r="E5" s="85"/>
      <c r="F5" s="85"/>
    </row>
    <row r="6" spans="1:9" s="39" customFormat="1" ht="15.75">
      <c r="A6" s="4"/>
      <c r="B6"/>
      <c r="C6"/>
      <c r="D6"/>
      <c r="E6"/>
      <c r="F6" s="58"/>
    </row>
    <row r="7" spans="1:9" s="39" customFormat="1" ht="15.75">
      <c r="A7" s="4"/>
      <c r="B7"/>
      <c r="C7"/>
      <c r="D7"/>
      <c r="E7"/>
      <c r="F7" s="58"/>
    </row>
    <row r="8" spans="1:9" s="39" customFormat="1" ht="15.75">
      <c r="A8" s="653" t="s">
        <v>137</v>
      </c>
      <c r="B8" s="653"/>
      <c r="C8" s="653"/>
      <c r="D8" s="653"/>
      <c r="E8" s="653"/>
      <c r="F8" s="653"/>
    </row>
    <row r="9" spans="1:9" s="39" customFormat="1" ht="15.75">
      <c r="A9" s="653" t="s">
        <v>152</v>
      </c>
      <c r="B9" s="653"/>
      <c r="C9" s="653"/>
      <c r="D9" s="653"/>
      <c r="E9" s="653"/>
      <c r="F9" s="653"/>
    </row>
    <row r="10" spans="1:9" s="39" customFormat="1" ht="15.75">
      <c r="A10" s="179"/>
      <c r="B10" s="179"/>
      <c r="C10" s="179"/>
      <c r="D10" s="179"/>
      <c r="E10" s="179"/>
      <c r="F10" s="179"/>
    </row>
    <row r="11" spans="1:9" s="161" customFormat="1" ht="15.75">
      <c r="A11" s="9" t="s">
        <v>103</v>
      </c>
      <c r="B11" s="9"/>
      <c r="C11" s="159"/>
      <c r="D11" s="159"/>
      <c r="E11" s="159"/>
      <c r="F11" s="160"/>
    </row>
    <row r="12" spans="1:9" s="161" customFormat="1" ht="15.75">
      <c r="A12" s="9"/>
      <c r="B12" s="9"/>
      <c r="C12" s="159"/>
      <c r="D12" s="159"/>
      <c r="E12" s="159"/>
      <c r="F12" s="160"/>
    </row>
    <row r="13" spans="1:9" s="39" customFormat="1" ht="12.75">
      <c r="A13" s="163" t="s">
        <v>104</v>
      </c>
      <c r="B13" s="90"/>
      <c r="C13" s="90"/>
      <c r="D13" s="90"/>
      <c r="E13" s="90"/>
      <c r="F13" s="58"/>
    </row>
    <row r="14" spans="1:9" s="39" customFormat="1" ht="12.75">
      <c r="A14" s="162" t="s">
        <v>134</v>
      </c>
      <c r="B14" s="162"/>
      <c r="C14" s="90"/>
      <c r="D14" s="90"/>
      <c r="E14" s="90"/>
      <c r="F14" s="58"/>
    </row>
    <row r="15" spans="1:9" s="39" customFormat="1" ht="12.75">
      <c r="A15" s="162" t="s">
        <v>135</v>
      </c>
      <c r="B15" s="162"/>
      <c r="C15" s="90"/>
      <c r="D15" s="90"/>
      <c r="E15" s="90"/>
      <c r="F15" s="58"/>
    </row>
    <row r="16" spans="1:9" s="39" customFormat="1" ht="12.75">
      <c r="A16" s="188" t="s">
        <v>136</v>
      </c>
      <c r="B16" s="162"/>
      <c r="C16" s="90"/>
      <c r="D16" s="90"/>
      <c r="E16" s="90"/>
      <c r="F16" s="58"/>
    </row>
    <row r="17" spans="1:6" s="39" customFormat="1" ht="12.75">
      <c r="A17" s="188" t="s">
        <v>131</v>
      </c>
      <c r="B17" s="162"/>
      <c r="C17" s="90"/>
      <c r="D17" s="90"/>
      <c r="E17" s="90"/>
      <c r="F17" s="58"/>
    </row>
    <row r="18" spans="1:6" s="39" customFormat="1" ht="12.75">
      <c r="A18" s="162"/>
      <c r="B18" s="162"/>
      <c r="C18" s="2"/>
      <c r="D18" s="2"/>
      <c r="E18" s="2"/>
      <c r="F18" s="2"/>
    </row>
    <row r="19" spans="1:6" s="39" customFormat="1" ht="12.75" customHeight="1">
      <c r="A19" s="196" t="s">
        <v>9</v>
      </c>
      <c r="B19" s="196" t="s">
        <v>18</v>
      </c>
      <c r="C19" s="196" t="s">
        <v>88</v>
      </c>
      <c r="D19" s="197" t="s">
        <v>118</v>
      </c>
      <c r="E19" s="205" t="s">
        <v>132</v>
      </c>
      <c r="F19" s="196" t="s">
        <v>124</v>
      </c>
    </row>
    <row r="20" spans="1:6" s="39" customFormat="1" ht="12.75">
      <c r="A20" s="199"/>
      <c r="B20" s="199" t="s">
        <v>107</v>
      </c>
      <c r="C20" s="199"/>
      <c r="D20" s="205" t="s">
        <v>119</v>
      </c>
      <c r="E20" s="205" t="s">
        <v>133</v>
      </c>
      <c r="F20" s="199" t="s">
        <v>105</v>
      </c>
    </row>
    <row r="21" spans="1:6" s="156" customFormat="1" ht="12">
      <c r="A21" s="206" t="s">
        <v>70</v>
      </c>
      <c r="B21" s="206" t="s">
        <v>71</v>
      </c>
      <c r="C21" s="206" t="s">
        <v>76</v>
      </c>
      <c r="D21" s="206" t="s">
        <v>72</v>
      </c>
      <c r="E21" s="206" t="s">
        <v>73</v>
      </c>
      <c r="F21" s="206" t="s">
        <v>138</v>
      </c>
    </row>
    <row r="22" spans="1:6" s="39" customFormat="1" ht="12.75">
      <c r="A22" s="157"/>
      <c r="B22" s="94"/>
      <c r="C22" s="94"/>
      <c r="D22" s="94"/>
      <c r="E22" s="94"/>
      <c r="F22" s="89"/>
    </row>
    <row r="23" spans="1:6" s="39" customFormat="1" ht="12.75">
      <c r="A23" s="155">
        <v>1</v>
      </c>
      <c r="B23" s="142"/>
      <c r="C23" s="142"/>
      <c r="D23" s="142"/>
      <c r="E23" s="192"/>
      <c r="F23" s="193">
        <f>C23*(D23-E23)</f>
        <v>0</v>
      </c>
    </row>
    <row r="24" spans="1:6" s="39" customFormat="1" ht="12.75">
      <c r="A24" s="155">
        <v>2</v>
      </c>
      <c r="B24" s="142"/>
      <c r="C24" s="142"/>
      <c r="D24" s="142"/>
      <c r="E24" s="192"/>
      <c r="F24" s="193">
        <f>C24*(D24-E24)</f>
        <v>0</v>
      </c>
    </row>
    <row r="25" spans="1:6" s="39" customFormat="1" ht="12.75">
      <c r="A25" s="155">
        <v>3</v>
      </c>
      <c r="B25" s="142"/>
      <c r="C25" s="142"/>
      <c r="D25" s="142"/>
      <c r="E25" s="192"/>
      <c r="F25" s="193">
        <f>C25*(D25-E25)</f>
        <v>0</v>
      </c>
    </row>
    <row r="26" spans="1:6" s="39" customFormat="1" ht="12.75">
      <c r="A26" s="155">
        <v>4</v>
      </c>
      <c r="B26" s="142"/>
      <c r="C26" s="142"/>
      <c r="D26" s="142"/>
      <c r="E26" s="192"/>
      <c r="F26" s="193">
        <f>C26*(D26-E26)</f>
        <v>0</v>
      </c>
    </row>
    <row r="27" spans="1:6" s="39" customFormat="1" ht="12.75">
      <c r="A27" s="155">
        <v>5</v>
      </c>
      <c r="B27" s="142"/>
      <c r="C27" s="142"/>
      <c r="D27" s="142"/>
      <c r="E27" s="192"/>
      <c r="F27" s="193">
        <f>C27*(D27-E27)</f>
        <v>0</v>
      </c>
    </row>
    <row r="28" spans="1:6" s="39" customFormat="1" ht="12.75">
      <c r="A28" s="153"/>
      <c r="B28" s="147"/>
      <c r="C28" s="147"/>
      <c r="D28" s="147"/>
      <c r="E28" s="147"/>
      <c r="F28" s="88"/>
    </row>
    <row r="29" spans="1:6" s="39" customFormat="1" ht="12.75">
      <c r="A29" s="202"/>
      <c r="B29" s="202" t="s">
        <v>14</v>
      </c>
      <c r="C29" s="203"/>
      <c r="D29" s="203"/>
      <c r="E29" s="203"/>
      <c r="F29" s="204"/>
    </row>
    <row r="30" spans="1:6" s="161" customFormat="1" ht="15.75">
      <c r="A30" s="179"/>
      <c r="B30" s="179"/>
      <c r="C30" s="159"/>
      <c r="D30" s="159"/>
      <c r="E30" s="159"/>
      <c r="F30" s="160"/>
    </row>
    <row r="31" spans="1:6" s="39" customFormat="1">
      <c r="A31" s="9" t="s">
        <v>108</v>
      </c>
      <c r="B31" s="9"/>
      <c r="C31"/>
      <c r="D31"/>
      <c r="E31"/>
      <c r="F31" s="186"/>
    </row>
    <row r="32" spans="1:6" s="39" customFormat="1">
      <c r="A32" s="9"/>
      <c r="B32" s="9"/>
      <c r="C32"/>
      <c r="D32"/>
      <c r="E32"/>
      <c r="F32" s="186"/>
    </row>
    <row r="33" spans="1:6" s="39" customFormat="1">
      <c r="A33" s="163" t="s">
        <v>104</v>
      </c>
      <c r="B33" s="9"/>
      <c r="C33"/>
      <c r="D33"/>
      <c r="E33"/>
      <c r="F33" s="186"/>
    </row>
    <row r="34" spans="1:6" s="39" customFormat="1">
      <c r="A34" s="162" t="s">
        <v>139</v>
      </c>
      <c r="B34" s="9"/>
      <c r="C34"/>
      <c r="D34"/>
      <c r="E34"/>
      <c r="F34" s="186"/>
    </row>
    <row r="35" spans="1:6" s="39" customFormat="1">
      <c r="A35" s="162" t="s">
        <v>140</v>
      </c>
      <c r="B35" s="9"/>
      <c r="C35"/>
      <c r="D35"/>
      <c r="E35"/>
      <c r="F35" s="186"/>
    </row>
    <row r="36" spans="1:6" s="39" customFormat="1">
      <c r="A36" s="162" t="s">
        <v>141</v>
      </c>
      <c r="B36" s="9"/>
      <c r="C36"/>
      <c r="D36"/>
      <c r="E36"/>
      <c r="F36" s="186"/>
    </row>
    <row r="37" spans="1:6" s="39" customFormat="1">
      <c r="A37" s="188" t="s">
        <v>147</v>
      </c>
      <c r="B37" s="9"/>
      <c r="C37"/>
      <c r="D37"/>
      <c r="E37"/>
      <c r="F37" s="186"/>
    </row>
    <row r="38" spans="1:6" s="39" customFormat="1">
      <c r="A38" s="188" t="s">
        <v>148</v>
      </c>
      <c r="B38" s="9"/>
      <c r="C38"/>
      <c r="D38"/>
      <c r="E38"/>
      <c r="F38" s="186"/>
    </row>
    <row r="39" spans="1:6" s="39" customFormat="1">
      <c r="A39" s="188" t="s">
        <v>142</v>
      </c>
      <c r="B39" s="9"/>
      <c r="C39"/>
      <c r="D39"/>
      <c r="E39"/>
      <c r="F39" s="186"/>
    </row>
    <row r="40" spans="1:6" s="39" customFormat="1">
      <c r="A40" s="162" t="s">
        <v>143</v>
      </c>
      <c r="B40" s="9"/>
      <c r="C40"/>
      <c r="D40"/>
      <c r="E40"/>
      <c r="F40" s="186"/>
    </row>
    <row r="41" spans="1:6" s="54" customFormat="1">
      <c r="A41" s="57"/>
      <c r="B41" s="57"/>
      <c r="C41" s="57"/>
      <c r="D41" s="57"/>
      <c r="E41" s="57"/>
    </row>
    <row r="42" spans="1:6" s="54" customFormat="1" ht="15" customHeight="1">
      <c r="A42" s="196" t="s">
        <v>9</v>
      </c>
      <c r="B42" s="196" t="s">
        <v>110</v>
      </c>
      <c r="C42" s="196" t="s">
        <v>144</v>
      </c>
      <c r="D42" s="196" t="s">
        <v>144</v>
      </c>
      <c r="E42" s="207" t="s">
        <v>150</v>
      </c>
      <c r="F42" s="196" t="s">
        <v>124</v>
      </c>
    </row>
    <row r="43" spans="1:6" s="54" customFormat="1" ht="15" customHeight="1">
      <c r="A43" s="199"/>
      <c r="B43" s="199" t="s">
        <v>109</v>
      </c>
      <c r="C43" s="196" t="s">
        <v>145</v>
      </c>
      <c r="D43" s="196" t="s">
        <v>146</v>
      </c>
      <c r="E43" s="209" t="s">
        <v>149</v>
      </c>
      <c r="F43" s="199" t="s">
        <v>105</v>
      </c>
    </row>
    <row r="44" spans="1:6" s="54" customFormat="1">
      <c r="A44" s="206" t="s">
        <v>70</v>
      </c>
      <c r="B44" s="206" t="s">
        <v>71</v>
      </c>
      <c r="C44" s="206" t="s">
        <v>76</v>
      </c>
      <c r="D44" s="206" t="s">
        <v>72</v>
      </c>
      <c r="E44" s="206" t="s">
        <v>73</v>
      </c>
      <c r="F44" s="206" t="s">
        <v>151</v>
      </c>
    </row>
    <row r="45" spans="1:6" s="54" customFormat="1">
      <c r="A45" s="157"/>
      <c r="B45" s="94"/>
      <c r="C45" s="142"/>
      <c r="D45" s="142"/>
      <c r="E45" s="184"/>
      <c r="F45" s="89"/>
    </row>
    <row r="46" spans="1:6" s="54" customFormat="1">
      <c r="A46" s="155">
        <v>1</v>
      </c>
      <c r="B46" s="142"/>
      <c r="C46" s="192"/>
      <c r="D46" s="192"/>
      <c r="E46" s="195"/>
      <c r="F46" s="214" t="e">
        <f>(C46-D46)*E46/C46</f>
        <v>#DIV/0!</v>
      </c>
    </row>
    <row r="47" spans="1:6" s="54" customFormat="1">
      <c r="A47" s="155">
        <v>2</v>
      </c>
      <c r="B47" s="142"/>
      <c r="C47" s="192"/>
      <c r="D47" s="192"/>
      <c r="E47" s="195"/>
      <c r="F47" s="214" t="e">
        <f>(C47-D47)*E47/C47</f>
        <v>#DIV/0!</v>
      </c>
    </row>
    <row r="48" spans="1:6" s="54" customFormat="1">
      <c r="A48" s="155">
        <v>3</v>
      </c>
      <c r="B48" s="142"/>
      <c r="C48" s="192"/>
      <c r="D48" s="192"/>
      <c r="E48" s="195"/>
      <c r="F48" s="214" t="e">
        <f>(C48-D48)*E48/C48</f>
        <v>#DIV/0!</v>
      </c>
    </row>
    <row r="49" spans="1:6" s="54" customFormat="1">
      <c r="A49" s="155">
        <v>4</v>
      </c>
      <c r="B49" s="142"/>
      <c r="C49" s="192"/>
      <c r="D49" s="192"/>
      <c r="E49" s="195"/>
      <c r="F49" s="214" t="e">
        <f>(C49-D49)*E49/C49</f>
        <v>#DIV/0!</v>
      </c>
    </row>
    <row r="50" spans="1:6" s="54" customFormat="1">
      <c r="A50" s="155">
        <v>5</v>
      </c>
      <c r="B50" s="142"/>
      <c r="C50" s="192"/>
      <c r="D50" s="192"/>
      <c r="E50" s="195"/>
      <c r="F50" s="214" t="e">
        <f>(C50-D50)*E50/C50</f>
        <v>#DIV/0!</v>
      </c>
    </row>
    <row r="51" spans="1:6" s="54" customFormat="1">
      <c r="A51" s="153"/>
      <c r="B51" s="147"/>
      <c r="C51" s="142"/>
      <c r="D51" s="142"/>
      <c r="E51" s="185"/>
      <c r="F51" s="88"/>
    </row>
    <row r="52" spans="1:6" s="54" customFormat="1">
      <c r="A52" s="202"/>
      <c r="B52" s="202" t="s">
        <v>14</v>
      </c>
      <c r="C52" s="206"/>
      <c r="D52" s="206"/>
      <c r="E52" s="210"/>
      <c r="F52" s="204"/>
    </row>
    <row r="53" spans="1:6" s="54" customFormat="1">
      <c r="A53" s="44"/>
    </row>
    <row r="54" spans="1:6" s="54" customFormat="1">
      <c r="A54" s="44"/>
    </row>
    <row r="55" spans="1:6" s="54" customFormat="1">
      <c r="A55" s="44"/>
    </row>
    <row r="56" spans="1:6" s="54" customFormat="1">
      <c r="A56" s="44"/>
    </row>
    <row r="57" spans="1:6" s="54" customFormat="1">
      <c r="A57" s="44"/>
    </row>
    <row r="58" spans="1:6" s="54" customFormat="1">
      <c r="A58" s="44"/>
    </row>
    <row r="59" spans="1:6" s="54" customFormat="1">
      <c r="A59" s="44"/>
    </row>
    <row r="60" spans="1:6" s="54" customFormat="1">
      <c r="A60" s="44"/>
    </row>
    <row r="61" spans="1:6" s="54" customFormat="1">
      <c r="A61" s="44"/>
    </row>
    <row r="62" spans="1:6" s="54" customFormat="1">
      <c r="A62" s="44"/>
    </row>
    <row r="63" spans="1:6" s="54" customFormat="1">
      <c r="A63" s="44"/>
    </row>
    <row r="64" spans="1:6" s="54" customFormat="1">
      <c r="A64" s="44"/>
    </row>
    <row r="65" spans="1:1" s="54" customFormat="1">
      <c r="A65" s="44"/>
    </row>
    <row r="66" spans="1:1" s="54" customFormat="1">
      <c r="A66" s="44"/>
    </row>
    <row r="67" spans="1:1" s="54" customFormat="1">
      <c r="A67" s="44"/>
    </row>
    <row r="68" spans="1:1" s="54" customFormat="1">
      <c r="A68" s="44"/>
    </row>
    <row r="69" spans="1:1" s="54" customFormat="1">
      <c r="A69" s="44"/>
    </row>
    <row r="70" spans="1:1" s="54" customFormat="1">
      <c r="A70" s="44"/>
    </row>
    <row r="71" spans="1:1" s="54" customFormat="1">
      <c r="A71" s="44"/>
    </row>
    <row r="72" spans="1:1" s="54" customFormat="1">
      <c r="A72" s="44"/>
    </row>
    <row r="73" spans="1:1" s="54" customFormat="1">
      <c r="A73" s="44"/>
    </row>
    <row r="74" spans="1:1" s="54" customFormat="1">
      <c r="A74" s="44"/>
    </row>
    <row r="75" spans="1:1" s="54" customFormat="1">
      <c r="A75" s="44"/>
    </row>
  </sheetData>
  <mergeCells count="2">
    <mergeCell ref="A8:F8"/>
    <mergeCell ref="A9:F9"/>
  </mergeCells>
  <printOptions horizontalCentered="1"/>
  <pageMargins left="0.5" right="0.5" top="0.5" bottom="0.5" header="0.5" footer="0.5"/>
  <pageSetup paperSize="9" scale="86" orientation="portrait" r:id="rId1"/>
</worksheet>
</file>

<file path=xl/worksheets/sheet18.xml><?xml version="1.0" encoding="utf-8"?>
<worksheet xmlns="http://schemas.openxmlformats.org/spreadsheetml/2006/main" xmlns:r="http://schemas.openxmlformats.org/officeDocument/2006/relationships">
  <dimension ref="A1:AA97"/>
  <sheetViews>
    <sheetView view="pageBreakPreview" zoomScaleNormal="100" zoomScaleSheetLayoutView="100" workbookViewId="0">
      <selection activeCell="C8" sqref="C8"/>
    </sheetView>
  </sheetViews>
  <sheetFormatPr defaultRowHeight="15"/>
  <cols>
    <col min="1" max="1" width="4.7109375" style="44" customWidth="1"/>
    <col min="2" max="2" width="49.7109375" style="44" customWidth="1"/>
    <col min="3" max="3" width="17.5703125" style="44" customWidth="1"/>
    <col min="4" max="4" width="17" style="44" customWidth="1"/>
    <col min="5" max="5" width="16.28515625" style="44" customWidth="1"/>
    <col min="6" max="6" width="15.42578125" style="44" customWidth="1"/>
    <col min="7" max="7" width="14.28515625" style="44" customWidth="1"/>
    <col min="8" max="16384" width="9.140625" style="44"/>
  </cols>
  <sheetData>
    <row r="1" spans="1:27" s="43" customFormat="1" ht="21">
      <c r="A1" s="1" t="s">
        <v>0</v>
      </c>
      <c r="B1"/>
      <c r="C1"/>
      <c r="E1" s="33"/>
      <c r="F1" s="87"/>
      <c r="G1" s="2" t="s">
        <v>602</v>
      </c>
      <c r="H1"/>
      <c r="I1"/>
      <c r="J1"/>
      <c r="K1"/>
      <c r="L1"/>
      <c r="M1"/>
      <c r="N1"/>
      <c r="O1"/>
      <c r="P1"/>
      <c r="Q1"/>
      <c r="R1"/>
    </row>
    <row r="2" spans="1:27" customFormat="1">
      <c r="A2" s="44"/>
      <c r="D2" s="44"/>
      <c r="E2" s="33"/>
      <c r="F2" s="33"/>
    </row>
    <row r="3" spans="1:27" customFormat="1">
      <c r="D3" s="44"/>
      <c r="E3" s="33"/>
      <c r="F3" s="33"/>
    </row>
    <row r="4" spans="1:27" customFormat="1" ht="15.75">
      <c r="A4" s="4" t="s">
        <v>295</v>
      </c>
      <c r="C4" s="44"/>
      <c r="D4" s="44"/>
      <c r="E4" s="85"/>
      <c r="F4" s="86" t="s">
        <v>2</v>
      </c>
      <c r="G4" s="86" t="s">
        <v>3</v>
      </c>
    </row>
    <row r="5" spans="1:27" customFormat="1" ht="15.75">
      <c r="A5" s="4" t="s">
        <v>21</v>
      </c>
      <c r="C5" s="44"/>
      <c r="D5" s="44"/>
      <c r="E5" s="85" t="s">
        <v>5</v>
      </c>
      <c r="F5" s="85"/>
      <c r="G5" s="85"/>
      <c r="H5" s="44"/>
      <c r="I5" s="44"/>
      <c r="J5" s="44"/>
      <c r="K5" s="44"/>
      <c r="L5" s="44"/>
      <c r="M5" s="44"/>
      <c r="N5" s="44"/>
      <c r="O5" s="44"/>
      <c r="P5" s="44"/>
      <c r="Q5" s="44"/>
      <c r="R5" s="44"/>
      <c r="S5" s="44"/>
      <c r="T5" s="44"/>
      <c r="U5" s="44"/>
      <c r="V5" s="44"/>
      <c r="W5" s="44"/>
      <c r="X5" s="44"/>
      <c r="Y5" s="44"/>
      <c r="Z5" s="44"/>
      <c r="AA5" s="44"/>
    </row>
    <row r="6" spans="1:27" customFormat="1">
      <c r="A6" s="7"/>
      <c r="C6" s="44"/>
      <c r="D6" s="44"/>
      <c r="E6" s="85" t="s">
        <v>6</v>
      </c>
      <c r="F6" s="85"/>
      <c r="G6" s="85"/>
      <c r="H6" s="44"/>
      <c r="I6" s="44"/>
      <c r="J6" s="44"/>
      <c r="K6" s="44"/>
      <c r="L6" s="44"/>
      <c r="M6" s="44"/>
      <c r="N6" s="44"/>
      <c r="O6" s="44"/>
      <c r="P6" s="44"/>
      <c r="Q6" s="44"/>
      <c r="R6" s="44"/>
      <c r="S6" s="44"/>
      <c r="T6" s="44"/>
      <c r="U6" s="44"/>
      <c r="V6" s="44"/>
      <c r="W6" s="44"/>
      <c r="X6" s="44"/>
      <c r="Y6" s="44"/>
      <c r="Z6" s="44"/>
      <c r="AA6" s="44"/>
    </row>
    <row r="7" spans="1:27" customFormat="1">
      <c r="A7" s="7"/>
      <c r="C7" s="44"/>
      <c r="D7" s="8"/>
      <c r="E7" s="8"/>
      <c r="G7" s="44"/>
      <c r="H7" s="44"/>
      <c r="I7" s="44"/>
      <c r="J7" s="44"/>
      <c r="K7" s="44"/>
      <c r="L7" s="44"/>
      <c r="M7" s="44"/>
      <c r="N7" s="44"/>
      <c r="O7" s="44"/>
      <c r="P7" s="44"/>
      <c r="Q7" s="44"/>
      <c r="R7" s="44"/>
      <c r="S7" s="44"/>
      <c r="T7" s="44"/>
      <c r="U7" s="44"/>
      <c r="V7" s="44"/>
      <c r="W7" s="44"/>
      <c r="X7" s="44"/>
      <c r="Y7" s="44"/>
      <c r="Z7" s="44"/>
      <c r="AA7" s="44"/>
    </row>
    <row r="8" spans="1:27" customFormat="1" ht="15.75">
      <c r="A8" s="4" t="s">
        <v>603</v>
      </c>
      <c r="C8" s="44"/>
      <c r="D8" s="8"/>
      <c r="E8" s="8"/>
      <c r="G8" s="44"/>
      <c r="H8" s="44"/>
      <c r="I8" s="44"/>
      <c r="J8" s="44"/>
      <c r="K8" s="44"/>
      <c r="L8" s="44"/>
      <c r="M8" s="44"/>
      <c r="N8" s="44"/>
      <c r="O8" s="44"/>
      <c r="P8" s="44"/>
      <c r="Q8" s="44"/>
      <c r="R8" s="44"/>
      <c r="S8" s="44"/>
      <c r="T8" s="44"/>
      <c r="U8" s="44"/>
      <c r="V8" s="44"/>
      <c r="W8" s="44"/>
      <c r="X8" s="44"/>
      <c r="Y8" s="44"/>
      <c r="Z8" s="44"/>
      <c r="AA8" s="44"/>
    </row>
    <row r="9" spans="1:27" customFormat="1">
      <c r="C9" s="44"/>
      <c r="D9" s="8"/>
      <c r="E9" s="8"/>
      <c r="G9" s="44"/>
      <c r="H9" s="44"/>
      <c r="I9" s="44"/>
      <c r="J9" s="44"/>
      <c r="K9" s="44"/>
      <c r="L9" s="44"/>
      <c r="M9" s="44"/>
      <c r="N9" s="44"/>
      <c r="O9" s="44"/>
      <c r="P9" s="44"/>
      <c r="Q9" s="44"/>
      <c r="R9" s="44"/>
      <c r="S9" s="44"/>
      <c r="T9" s="44"/>
      <c r="U9" s="44"/>
      <c r="V9" s="44"/>
      <c r="W9" s="44"/>
      <c r="X9" s="44"/>
      <c r="Y9" s="44"/>
      <c r="Z9" s="44"/>
      <c r="AA9" s="44"/>
    </row>
    <row r="10" spans="1:27" customFormat="1">
      <c r="C10" s="44"/>
      <c r="D10" s="8"/>
      <c r="E10" s="8"/>
      <c r="G10" s="44"/>
      <c r="H10" s="44"/>
      <c r="I10" s="44"/>
      <c r="J10" s="44"/>
      <c r="K10" s="44"/>
      <c r="L10" s="44"/>
      <c r="M10" s="44"/>
      <c r="N10" s="44"/>
      <c r="O10" s="44"/>
      <c r="P10" s="44"/>
      <c r="Q10" s="44"/>
      <c r="R10" s="44"/>
      <c r="S10" s="44"/>
      <c r="T10" s="44"/>
      <c r="U10" s="44"/>
      <c r="V10" s="44"/>
      <c r="W10" s="44"/>
      <c r="X10" s="44"/>
      <c r="Y10" s="44"/>
      <c r="Z10" s="44"/>
      <c r="AA10" s="44"/>
    </row>
    <row r="11" spans="1:27" customFormat="1">
      <c r="C11" s="44"/>
      <c r="D11" s="8"/>
      <c r="E11" s="8"/>
      <c r="G11" s="44"/>
      <c r="H11" s="44"/>
      <c r="I11" s="44"/>
      <c r="J11" s="44"/>
      <c r="K11" s="44"/>
      <c r="L11" s="44"/>
      <c r="M11" s="44"/>
      <c r="N11" s="44"/>
      <c r="O11" s="44"/>
      <c r="P11" s="44"/>
      <c r="Q11" s="44"/>
      <c r="R11" s="44"/>
      <c r="S11" s="44"/>
      <c r="T11" s="44"/>
      <c r="U11" s="44"/>
      <c r="V11" s="44"/>
      <c r="W11" s="44"/>
      <c r="X11" s="44"/>
      <c r="Y11" s="44"/>
      <c r="Z11" s="44"/>
      <c r="AA11" s="44"/>
    </row>
    <row r="12" spans="1:27" customFormat="1">
      <c r="C12" s="44"/>
      <c r="D12" s="8"/>
      <c r="E12" s="8"/>
      <c r="G12" s="44"/>
      <c r="H12" s="44"/>
      <c r="I12" s="44"/>
      <c r="J12" s="44"/>
      <c r="K12" s="44"/>
      <c r="L12" s="44"/>
      <c r="M12" s="44"/>
      <c r="N12" s="44"/>
      <c r="O12" s="44"/>
      <c r="P12" s="44"/>
      <c r="Q12" s="44"/>
      <c r="R12" s="44"/>
      <c r="S12" s="44"/>
      <c r="T12" s="44"/>
      <c r="U12" s="44"/>
      <c r="V12" s="44"/>
      <c r="W12" s="44"/>
      <c r="X12" s="44"/>
      <c r="Y12" s="44"/>
      <c r="Z12" s="44"/>
      <c r="AA12" s="44"/>
    </row>
    <row r="13" spans="1:27" customFormat="1">
      <c r="C13" s="44"/>
      <c r="D13" s="8"/>
      <c r="E13" s="8"/>
      <c r="G13" s="44"/>
      <c r="H13" s="44"/>
      <c r="I13" s="44"/>
      <c r="J13" s="44"/>
      <c r="K13" s="44"/>
      <c r="L13" s="44"/>
      <c r="M13" s="44"/>
      <c r="N13" s="44"/>
      <c r="O13" s="44"/>
      <c r="P13" s="44"/>
      <c r="Q13" s="44"/>
      <c r="R13" s="44"/>
      <c r="S13" s="44"/>
      <c r="T13" s="44"/>
      <c r="U13" s="44"/>
      <c r="V13" s="44"/>
      <c r="W13" s="44"/>
      <c r="X13" s="44"/>
      <c r="Y13" s="44"/>
      <c r="Z13" s="44"/>
      <c r="AA13" s="44"/>
    </row>
    <row r="14" spans="1:27" customFormat="1">
      <c r="C14" s="44"/>
      <c r="D14" s="8"/>
      <c r="E14" s="8"/>
      <c r="G14" s="44"/>
      <c r="H14" s="44"/>
      <c r="I14" s="44"/>
      <c r="J14" s="44"/>
      <c r="K14" s="44"/>
      <c r="L14" s="44"/>
      <c r="M14" s="44"/>
      <c r="N14" s="44"/>
      <c r="O14" s="44"/>
      <c r="P14" s="44"/>
      <c r="Q14" s="44"/>
      <c r="R14" s="44"/>
      <c r="S14" s="44"/>
      <c r="T14" s="44"/>
      <c r="U14" s="44"/>
      <c r="V14" s="44"/>
      <c r="W14" s="44"/>
      <c r="X14" s="44"/>
      <c r="Y14" s="44"/>
      <c r="Z14" s="44"/>
      <c r="AA14" s="44"/>
    </row>
    <row r="15" spans="1:27" customFormat="1">
      <c r="C15" s="44"/>
      <c r="D15" s="8"/>
      <c r="E15" s="8"/>
      <c r="G15" s="44"/>
      <c r="H15" s="44"/>
      <c r="I15" s="44"/>
      <c r="J15" s="44"/>
      <c r="K15" s="44"/>
      <c r="L15" s="44"/>
      <c r="M15" s="44"/>
      <c r="N15" s="44"/>
      <c r="O15" s="44"/>
      <c r="P15" s="44"/>
      <c r="Q15" s="44"/>
      <c r="R15" s="44"/>
      <c r="S15" s="44"/>
      <c r="T15" s="44"/>
      <c r="U15" s="44"/>
      <c r="V15" s="44"/>
      <c r="W15" s="44"/>
      <c r="X15" s="44"/>
      <c r="Y15" s="44"/>
      <c r="Z15" s="44"/>
      <c r="AA15" s="44"/>
    </row>
    <row r="16" spans="1:27" customFormat="1">
      <c r="C16" s="44"/>
      <c r="D16" s="8"/>
      <c r="E16" s="8"/>
      <c r="G16" s="44"/>
      <c r="H16" s="44"/>
      <c r="I16" s="44"/>
      <c r="J16" s="44"/>
      <c r="K16" s="44"/>
      <c r="L16" s="44"/>
      <c r="M16" s="44"/>
      <c r="N16" s="44"/>
      <c r="O16" s="44"/>
      <c r="P16" s="44"/>
      <c r="Q16" s="44"/>
      <c r="R16" s="44"/>
      <c r="S16" s="44"/>
      <c r="T16" s="44"/>
      <c r="U16" s="44"/>
      <c r="V16" s="44"/>
      <c r="W16" s="44"/>
      <c r="X16" s="44"/>
      <c r="Y16" s="44"/>
      <c r="Z16" s="44"/>
      <c r="AA16" s="44"/>
    </row>
    <row r="17" spans="1:27" customFormat="1">
      <c r="C17" s="44"/>
      <c r="D17" s="8"/>
      <c r="E17" s="8"/>
      <c r="G17" s="44"/>
      <c r="H17" s="44"/>
      <c r="I17" s="44"/>
      <c r="J17" s="44"/>
      <c r="K17" s="44"/>
      <c r="L17" s="44"/>
      <c r="M17" s="44"/>
      <c r="N17" s="44"/>
      <c r="O17" s="44"/>
      <c r="P17" s="44"/>
      <c r="Q17" s="44"/>
      <c r="R17" s="44"/>
      <c r="S17" s="44"/>
      <c r="T17" s="44"/>
      <c r="U17" s="44"/>
      <c r="V17" s="44"/>
      <c r="W17" s="44"/>
      <c r="X17" s="44"/>
      <c r="Y17" s="44"/>
      <c r="Z17" s="44"/>
      <c r="AA17" s="44"/>
    </row>
    <row r="18" spans="1:27" customFormat="1">
      <c r="C18" s="44"/>
      <c r="D18" s="8"/>
      <c r="E18" s="8"/>
      <c r="G18" s="44"/>
      <c r="H18" s="44"/>
      <c r="I18" s="44"/>
      <c r="J18" s="44"/>
      <c r="K18" s="44"/>
      <c r="L18" s="44"/>
      <c r="M18" s="44"/>
      <c r="N18" s="44"/>
      <c r="O18" s="44"/>
      <c r="P18" s="44"/>
      <c r="Q18" s="44"/>
      <c r="R18" s="44"/>
      <c r="S18" s="44"/>
      <c r="T18" s="44"/>
      <c r="U18" s="44"/>
      <c r="V18" s="44"/>
      <c r="W18" s="44"/>
      <c r="X18" s="44"/>
      <c r="Y18" s="44"/>
      <c r="Z18" s="44"/>
      <c r="AA18" s="44"/>
    </row>
    <row r="19" spans="1:27" customFormat="1">
      <c r="C19" s="44"/>
      <c r="D19" s="8"/>
      <c r="E19" s="8"/>
      <c r="G19" s="44"/>
      <c r="H19" s="44"/>
      <c r="I19" s="44"/>
      <c r="J19" s="44"/>
      <c r="K19" s="44"/>
      <c r="L19" s="44"/>
      <c r="M19" s="44"/>
      <c r="N19" s="44"/>
      <c r="O19" s="44"/>
      <c r="P19" s="44"/>
      <c r="Q19" s="44"/>
      <c r="R19" s="44"/>
      <c r="S19" s="44"/>
      <c r="T19" s="44"/>
      <c r="U19" s="44"/>
      <c r="V19" s="44"/>
      <c r="W19" s="44"/>
      <c r="X19" s="44"/>
      <c r="Y19" s="44"/>
      <c r="Z19" s="44"/>
      <c r="AA19" s="44"/>
    </row>
    <row r="20" spans="1:27" customFormat="1">
      <c r="C20" s="44"/>
      <c r="D20" s="8"/>
      <c r="E20" s="8"/>
      <c r="G20" s="44"/>
      <c r="H20" s="44"/>
      <c r="I20" s="44"/>
      <c r="J20" s="44"/>
      <c r="K20" s="44"/>
      <c r="L20" s="44"/>
      <c r="M20" s="44"/>
      <c r="N20" s="44"/>
      <c r="O20" s="44"/>
      <c r="P20" s="44"/>
      <c r="Q20" s="44"/>
      <c r="R20" s="44"/>
      <c r="S20" s="44"/>
      <c r="T20" s="44"/>
      <c r="U20" s="44"/>
      <c r="V20" s="44"/>
      <c r="W20" s="44"/>
      <c r="X20" s="44"/>
      <c r="Y20" s="44"/>
      <c r="Z20" s="44"/>
      <c r="AA20" s="44"/>
    </row>
    <row r="21" spans="1:27" customFormat="1">
      <c r="C21" s="44"/>
      <c r="D21" s="8"/>
      <c r="E21" s="8"/>
      <c r="G21" s="44"/>
      <c r="H21" s="44"/>
      <c r="I21" s="44"/>
      <c r="J21" s="44"/>
      <c r="K21" s="44"/>
      <c r="L21" s="44"/>
      <c r="M21" s="44"/>
      <c r="N21" s="44"/>
      <c r="O21" s="44"/>
      <c r="P21" s="44"/>
      <c r="Q21" s="44"/>
      <c r="R21" s="44"/>
      <c r="S21" s="44"/>
      <c r="T21" s="44"/>
      <c r="U21" s="44"/>
      <c r="V21" s="44"/>
      <c r="W21" s="44"/>
      <c r="X21" s="44"/>
      <c r="Y21" s="44"/>
      <c r="Z21" s="44"/>
      <c r="AA21" s="44"/>
    </row>
    <row r="22" spans="1:27" customFormat="1">
      <c r="A22" s="9" t="s">
        <v>92</v>
      </c>
      <c r="C22" s="44"/>
      <c r="D22" s="8"/>
      <c r="E22" s="8"/>
      <c r="F22" s="2" t="s">
        <v>359</v>
      </c>
      <c r="G22" s="561" t="s">
        <v>353</v>
      </c>
      <c r="H22" s="44"/>
      <c r="I22" s="44"/>
      <c r="J22" s="44"/>
      <c r="K22" s="44"/>
      <c r="L22" s="44"/>
      <c r="M22" s="44"/>
      <c r="N22" s="44"/>
      <c r="O22" s="44"/>
      <c r="P22" s="44"/>
      <c r="Q22" s="44"/>
      <c r="R22" s="44"/>
      <c r="S22" s="44"/>
      <c r="T22" s="44"/>
      <c r="U22" s="44"/>
      <c r="V22" s="44"/>
      <c r="W22" s="44"/>
      <c r="X22" s="44"/>
      <c r="Y22" s="44"/>
      <c r="Z22" s="44"/>
      <c r="AA22" s="44"/>
    </row>
    <row r="23" spans="1:27" customFormat="1">
      <c r="A23" s="9"/>
      <c r="C23" s="44"/>
      <c r="D23" s="8"/>
      <c r="E23" s="8"/>
      <c r="F23" s="189"/>
      <c r="G23" s="44"/>
      <c r="H23" s="44"/>
      <c r="I23" s="44"/>
      <c r="J23" s="44"/>
      <c r="K23" s="44"/>
      <c r="L23" s="44"/>
      <c r="M23" s="44"/>
      <c r="N23" s="44"/>
      <c r="O23" s="44"/>
      <c r="P23" s="44"/>
      <c r="Q23" s="44"/>
      <c r="R23" s="44"/>
      <c r="S23" s="44"/>
      <c r="T23" s="44"/>
      <c r="U23" s="44"/>
      <c r="V23" s="44"/>
      <c r="W23" s="44"/>
      <c r="X23" s="44"/>
      <c r="Y23" s="44"/>
      <c r="Z23" s="44"/>
      <c r="AA23" s="44"/>
    </row>
    <row r="24" spans="1:27" customFormat="1">
      <c r="A24" s="116">
        <v>1.1000000000000001</v>
      </c>
      <c r="B24" s="162" t="s">
        <v>481</v>
      </c>
      <c r="C24" s="44"/>
      <c r="D24" s="8"/>
      <c r="E24" s="8"/>
      <c r="F24" s="190" t="s">
        <v>24</v>
      </c>
      <c r="G24" s="190" t="s">
        <v>24</v>
      </c>
      <c r="H24" s="44"/>
      <c r="I24" s="44"/>
      <c r="J24" s="44"/>
      <c r="K24" s="44"/>
      <c r="L24" s="44"/>
      <c r="M24" s="44"/>
      <c r="N24" s="44"/>
      <c r="O24" s="44"/>
      <c r="P24" s="44"/>
      <c r="Q24" s="44"/>
      <c r="R24" s="44"/>
      <c r="S24" s="44"/>
      <c r="T24" s="44"/>
      <c r="U24" s="44"/>
      <c r="V24" s="44"/>
      <c r="W24" s="44"/>
      <c r="X24" s="44"/>
      <c r="Y24" s="44"/>
      <c r="Z24" s="44"/>
      <c r="AA24" s="44"/>
    </row>
    <row r="25" spans="1:27" customFormat="1">
      <c r="A25" s="9"/>
      <c r="B25" s="162" t="s">
        <v>482</v>
      </c>
      <c r="C25" s="44"/>
      <c r="D25" s="8"/>
      <c r="E25" s="8"/>
      <c r="F25" s="189"/>
      <c r="G25" s="44"/>
      <c r="H25" s="44"/>
      <c r="I25" s="44"/>
      <c r="J25" s="44"/>
      <c r="K25" s="44"/>
      <c r="L25" s="44"/>
      <c r="M25" s="44"/>
      <c r="N25" s="44"/>
      <c r="O25" s="44"/>
      <c r="P25" s="44"/>
      <c r="Q25" s="44"/>
      <c r="R25" s="44"/>
      <c r="S25" s="44"/>
      <c r="T25" s="44"/>
      <c r="U25" s="44"/>
      <c r="V25" s="44"/>
      <c r="W25" s="44"/>
      <c r="X25" s="44"/>
      <c r="Y25" s="44"/>
      <c r="Z25" s="44"/>
      <c r="AA25" s="44"/>
    </row>
    <row r="26" spans="1:27" customFormat="1">
      <c r="A26" s="46"/>
      <c r="B26" s="562" t="s">
        <v>415</v>
      </c>
      <c r="C26" s="44"/>
      <c r="D26" s="44"/>
      <c r="E26" s="8"/>
      <c r="F26" s="8"/>
      <c r="G26" s="44"/>
    </row>
    <row r="27" spans="1:27" customFormat="1">
      <c r="A27" s="9"/>
      <c r="C27" s="44"/>
      <c r="D27" s="8"/>
      <c r="E27" s="8"/>
      <c r="F27" s="189"/>
      <c r="G27" s="44"/>
      <c r="H27" s="44"/>
      <c r="I27" s="44"/>
      <c r="J27" s="44"/>
      <c r="K27" s="44"/>
      <c r="L27" s="44"/>
      <c r="M27" s="44"/>
      <c r="N27" s="44"/>
      <c r="O27" s="44"/>
      <c r="P27" s="44"/>
      <c r="Q27" s="44"/>
      <c r="R27" s="44"/>
      <c r="S27" s="44"/>
      <c r="T27" s="44"/>
      <c r="U27" s="44"/>
      <c r="V27" s="44"/>
      <c r="W27" s="44"/>
      <c r="X27" s="44"/>
      <c r="Y27" s="44"/>
      <c r="Z27" s="44"/>
      <c r="AA27" s="44"/>
    </row>
    <row r="28" spans="1:27" customFormat="1">
      <c r="A28" s="116">
        <v>1.2</v>
      </c>
      <c r="B28" s="162" t="s">
        <v>313</v>
      </c>
      <c r="C28" s="44"/>
      <c r="D28" s="8"/>
      <c r="E28" s="8"/>
      <c r="F28" s="190" t="s">
        <v>24</v>
      </c>
      <c r="G28" s="190" t="s">
        <v>24</v>
      </c>
      <c r="H28" s="44"/>
      <c r="I28" s="44"/>
      <c r="J28" s="44"/>
      <c r="K28" s="44"/>
      <c r="L28" s="44"/>
      <c r="M28" s="44"/>
      <c r="N28" s="44"/>
      <c r="O28" s="44"/>
      <c r="P28" s="44"/>
      <c r="Q28" s="44"/>
      <c r="R28" s="44"/>
      <c r="S28" s="44"/>
      <c r="T28" s="44"/>
      <c r="U28" s="44"/>
      <c r="V28" s="44"/>
      <c r="W28" s="44"/>
      <c r="X28" s="44"/>
      <c r="Y28" s="44"/>
      <c r="Z28" s="44"/>
      <c r="AA28" s="44"/>
    </row>
    <row r="29" spans="1:27" customFormat="1">
      <c r="A29" s="116"/>
      <c r="B29" s="162"/>
      <c r="C29" s="44"/>
      <c r="D29" s="8"/>
      <c r="E29" s="8"/>
      <c r="F29" s="189"/>
      <c r="G29" s="44"/>
      <c r="H29" s="44"/>
      <c r="I29" s="44"/>
      <c r="J29" s="44"/>
      <c r="K29" s="44"/>
      <c r="L29" s="44"/>
      <c r="M29" s="44"/>
      <c r="N29" s="44"/>
      <c r="O29" s="44"/>
      <c r="P29" s="44"/>
      <c r="Q29" s="44"/>
      <c r="R29" s="44"/>
      <c r="S29" s="44"/>
      <c r="T29" s="44"/>
      <c r="U29" s="44"/>
      <c r="V29" s="44"/>
      <c r="W29" s="44"/>
      <c r="X29" s="44"/>
      <c r="Y29" s="44"/>
      <c r="Z29" s="44"/>
      <c r="AA29" s="44"/>
    </row>
    <row r="30" spans="1:27" customFormat="1">
      <c r="A30" s="9"/>
      <c r="B30" s="162" t="s">
        <v>483</v>
      </c>
      <c r="C30" s="44"/>
      <c r="D30" s="8"/>
      <c r="E30" s="8"/>
      <c r="F30" s="190" t="s">
        <v>24</v>
      </c>
      <c r="G30" s="190" t="s">
        <v>24</v>
      </c>
      <c r="H30" s="44"/>
      <c r="I30" s="44"/>
      <c r="J30" s="44"/>
      <c r="K30" s="44"/>
      <c r="L30" s="44"/>
      <c r="M30" s="44"/>
      <c r="N30" s="44"/>
      <c r="O30" s="44"/>
      <c r="P30" s="44"/>
      <c r="Q30" s="44"/>
      <c r="R30" s="44"/>
      <c r="S30" s="44"/>
      <c r="T30" s="44"/>
      <c r="U30" s="44"/>
      <c r="V30" s="44"/>
      <c r="W30" s="44"/>
      <c r="X30" s="44"/>
      <c r="Y30" s="44"/>
      <c r="Z30" s="44"/>
      <c r="AA30" s="44"/>
    </row>
    <row r="31" spans="1:27" customFormat="1">
      <c r="A31" s="9"/>
      <c r="B31" s="162" t="s">
        <v>314</v>
      </c>
      <c r="C31" s="44"/>
      <c r="D31" s="8"/>
      <c r="E31" s="8"/>
      <c r="F31" s="189"/>
      <c r="G31" s="44"/>
      <c r="H31" s="44"/>
      <c r="I31" s="44"/>
      <c r="J31" s="44"/>
      <c r="K31" s="44"/>
      <c r="L31" s="44"/>
      <c r="M31" s="44"/>
      <c r="N31" s="44"/>
      <c r="O31" s="44"/>
      <c r="P31" s="44"/>
      <c r="Q31" s="44"/>
      <c r="R31" s="44"/>
      <c r="S31" s="44"/>
      <c r="T31" s="44"/>
      <c r="U31" s="44"/>
      <c r="V31" s="44"/>
      <c r="W31" s="44"/>
      <c r="X31" s="44"/>
      <c r="Y31" s="44"/>
      <c r="Z31" s="44"/>
      <c r="AA31" s="44"/>
    </row>
    <row r="32" spans="1:27" customFormat="1">
      <c r="A32" s="9"/>
      <c r="C32" s="44"/>
      <c r="D32" s="8"/>
      <c r="E32" s="8"/>
      <c r="F32" s="189"/>
      <c r="G32" s="44"/>
      <c r="H32" s="44"/>
      <c r="I32" s="44"/>
      <c r="J32" s="44"/>
      <c r="K32" s="44"/>
      <c r="L32" s="44"/>
      <c r="M32" s="44"/>
      <c r="N32" s="44"/>
      <c r="O32" s="44"/>
      <c r="P32" s="44"/>
      <c r="Q32" s="44"/>
      <c r="R32" s="44"/>
      <c r="S32" s="44"/>
      <c r="T32" s="44"/>
      <c r="U32" s="44"/>
      <c r="V32" s="44"/>
      <c r="W32" s="44"/>
      <c r="X32" s="44"/>
      <c r="Y32" s="44"/>
      <c r="Z32" s="44"/>
      <c r="AA32" s="44"/>
    </row>
    <row r="33" spans="1:27" customFormat="1">
      <c r="A33" s="116">
        <v>1.3</v>
      </c>
      <c r="B33" s="95" t="s">
        <v>484</v>
      </c>
      <c r="C33" s="44"/>
      <c r="D33" s="8"/>
      <c r="E33" s="8"/>
      <c r="F33" s="190" t="s">
        <v>24</v>
      </c>
      <c r="G33" s="190" t="s">
        <v>24</v>
      </c>
      <c r="H33" s="44"/>
      <c r="I33" s="44"/>
      <c r="J33" s="44"/>
      <c r="K33" s="44"/>
      <c r="L33" s="44"/>
      <c r="M33" s="44"/>
      <c r="N33" s="44"/>
      <c r="O33" s="44"/>
      <c r="P33" s="44"/>
      <c r="Q33" s="44"/>
      <c r="R33" s="44"/>
      <c r="S33" s="44"/>
      <c r="T33" s="44"/>
      <c r="U33" s="44"/>
      <c r="V33" s="44"/>
      <c r="W33" s="44"/>
      <c r="X33" s="44"/>
      <c r="Y33" s="44"/>
      <c r="Z33" s="44"/>
      <c r="AA33" s="44"/>
    </row>
    <row r="34" spans="1:27" customFormat="1">
      <c r="A34" s="29"/>
      <c r="B34" s="162" t="s">
        <v>485</v>
      </c>
      <c r="C34" s="132"/>
      <c r="D34" s="132"/>
      <c r="E34" s="133"/>
      <c r="F34" s="35"/>
      <c r="G34" s="44"/>
      <c r="H34" s="44"/>
      <c r="I34" s="44"/>
      <c r="J34" s="44"/>
      <c r="K34" s="44"/>
      <c r="L34" s="44"/>
      <c r="M34" s="44"/>
      <c r="N34" s="44"/>
      <c r="O34" s="44"/>
      <c r="P34" s="44"/>
      <c r="Q34" s="44"/>
      <c r="R34" s="44"/>
      <c r="S34" s="44"/>
      <c r="T34" s="44"/>
      <c r="U34" s="44"/>
      <c r="V34" s="44"/>
      <c r="W34" s="44"/>
      <c r="X34" s="44"/>
      <c r="Y34" s="44"/>
      <c r="Z34" s="44"/>
      <c r="AA34" s="44"/>
    </row>
    <row r="35" spans="1:27" customFormat="1">
      <c r="A35" s="29"/>
      <c r="B35" s="162" t="s">
        <v>351</v>
      </c>
      <c r="C35" s="132"/>
      <c r="D35" s="132"/>
      <c r="E35" s="133"/>
      <c r="F35" s="35"/>
      <c r="G35" s="44"/>
      <c r="H35" s="44"/>
      <c r="I35" s="44"/>
      <c r="J35" s="44"/>
      <c r="K35" s="44"/>
      <c r="L35" s="44"/>
      <c r="M35" s="44"/>
      <c r="N35" s="44"/>
      <c r="O35" s="44"/>
      <c r="P35" s="44"/>
      <c r="Q35" s="44"/>
      <c r="R35" s="44"/>
      <c r="S35" s="44"/>
      <c r="T35" s="44"/>
      <c r="U35" s="44"/>
      <c r="V35" s="44"/>
      <c r="W35" s="44"/>
      <c r="X35" s="44"/>
      <c r="Y35" s="44"/>
      <c r="Z35" s="44"/>
      <c r="AA35" s="44"/>
    </row>
    <row r="36" spans="1:27" customFormat="1">
      <c r="A36" s="29"/>
      <c r="B36" s="23"/>
      <c r="C36" s="132"/>
      <c r="D36" s="132"/>
      <c r="E36" s="133"/>
      <c r="F36" s="35"/>
      <c r="G36" s="44"/>
      <c r="H36" s="44"/>
      <c r="I36" s="44"/>
      <c r="J36" s="44"/>
      <c r="K36" s="44"/>
      <c r="L36" s="44"/>
      <c r="M36" s="44"/>
      <c r="N36" s="44"/>
      <c r="O36" s="44"/>
      <c r="P36" s="44"/>
      <c r="Q36" s="44"/>
      <c r="R36" s="44"/>
      <c r="S36" s="44"/>
      <c r="T36" s="44"/>
      <c r="U36" s="44"/>
      <c r="V36" s="44"/>
      <c r="W36" s="44"/>
      <c r="X36" s="44"/>
      <c r="Y36" s="44"/>
      <c r="Z36" s="44"/>
      <c r="AA36" s="44"/>
    </row>
    <row r="37" spans="1:27" customFormat="1">
      <c r="A37" s="29">
        <v>1.4</v>
      </c>
      <c r="B37" s="162" t="s">
        <v>486</v>
      </c>
      <c r="C37" s="132"/>
      <c r="D37" s="132"/>
      <c r="E37" s="133"/>
      <c r="F37" s="190" t="s">
        <v>24</v>
      </c>
      <c r="G37" s="190" t="s">
        <v>24</v>
      </c>
      <c r="H37" s="44"/>
      <c r="I37" s="44"/>
      <c r="J37" s="44"/>
      <c r="K37" s="44"/>
      <c r="L37" s="44"/>
      <c r="M37" s="44"/>
      <c r="N37" s="44"/>
      <c r="O37" s="44"/>
      <c r="P37" s="44"/>
      <c r="Q37" s="44"/>
      <c r="R37" s="44"/>
      <c r="S37" s="44"/>
      <c r="T37" s="44"/>
      <c r="U37" s="44"/>
      <c r="V37" s="44"/>
      <c r="W37" s="44"/>
      <c r="X37" s="44"/>
      <c r="Y37" s="44"/>
      <c r="Z37" s="44"/>
      <c r="AA37" s="44"/>
    </row>
    <row r="38" spans="1:27" customFormat="1">
      <c r="A38" s="29"/>
      <c r="B38" s="162" t="s">
        <v>487</v>
      </c>
      <c r="C38" s="132"/>
      <c r="D38" s="132"/>
      <c r="E38" s="133"/>
      <c r="F38" s="35"/>
      <c r="G38" s="44"/>
      <c r="H38" s="44"/>
      <c r="I38" s="44"/>
      <c r="J38" s="44"/>
      <c r="K38" s="44"/>
      <c r="L38" s="44"/>
      <c r="M38" s="44"/>
      <c r="N38" s="44"/>
      <c r="O38" s="44"/>
      <c r="P38" s="44"/>
      <c r="Q38" s="44"/>
      <c r="R38" s="44"/>
      <c r="S38" s="44"/>
      <c r="T38" s="44"/>
      <c r="U38" s="44"/>
      <c r="V38" s="44"/>
      <c r="W38" s="44"/>
      <c r="X38" s="44"/>
      <c r="Y38" s="44"/>
      <c r="Z38" s="44"/>
      <c r="AA38" s="44"/>
    </row>
    <row r="39" spans="1:27" customFormat="1">
      <c r="A39" s="29"/>
      <c r="B39" s="162" t="s">
        <v>605</v>
      </c>
      <c r="C39" s="132"/>
      <c r="D39" s="132"/>
      <c r="E39" s="133"/>
      <c r="F39" s="35"/>
      <c r="G39" s="44"/>
      <c r="H39" s="44"/>
      <c r="I39" s="44"/>
      <c r="J39" s="44"/>
      <c r="K39" s="44"/>
      <c r="L39" s="44"/>
      <c r="M39" s="44"/>
      <c r="N39" s="44"/>
      <c r="O39" s="44"/>
      <c r="P39" s="44"/>
      <c r="Q39" s="44"/>
      <c r="R39" s="44"/>
      <c r="S39" s="44"/>
      <c r="T39" s="44"/>
      <c r="U39" s="44"/>
      <c r="V39" s="44"/>
      <c r="W39" s="44"/>
      <c r="X39" s="44"/>
      <c r="Y39" s="44"/>
      <c r="Z39" s="44"/>
      <c r="AA39" s="44"/>
    </row>
    <row r="40" spans="1:27" customFormat="1">
      <c r="A40" s="29"/>
      <c r="B40" s="21"/>
      <c r="C40" s="132"/>
      <c r="D40" s="132"/>
      <c r="E40" s="133"/>
      <c r="F40" s="35"/>
      <c r="G40" s="44"/>
      <c r="H40" s="44"/>
      <c r="I40" s="44"/>
      <c r="J40" s="44"/>
      <c r="K40" s="44"/>
      <c r="L40" s="44"/>
      <c r="M40" s="44"/>
      <c r="N40" s="44"/>
      <c r="O40" s="44"/>
      <c r="P40" s="44"/>
      <c r="Q40" s="44"/>
      <c r="R40" s="44"/>
      <c r="S40" s="44"/>
      <c r="T40" s="44"/>
      <c r="U40" s="44"/>
      <c r="V40" s="44"/>
      <c r="W40" s="44"/>
      <c r="X40" s="44"/>
      <c r="Y40" s="44"/>
      <c r="Z40" s="44"/>
      <c r="AA40" s="44"/>
    </row>
    <row r="41" spans="1:27" customFormat="1">
      <c r="A41" s="29">
        <v>1.5</v>
      </c>
      <c r="B41" s="162" t="s">
        <v>315</v>
      </c>
      <c r="C41" s="132"/>
      <c r="D41" s="132"/>
      <c r="E41" s="133"/>
      <c r="F41" s="190" t="s">
        <v>24</v>
      </c>
      <c r="G41" s="190" t="s">
        <v>24</v>
      </c>
      <c r="H41" s="44"/>
      <c r="I41" s="44"/>
      <c r="J41" s="44"/>
      <c r="K41" s="44"/>
      <c r="L41" s="44"/>
      <c r="M41" s="44"/>
      <c r="N41" s="44"/>
      <c r="O41" s="44"/>
      <c r="P41" s="44"/>
      <c r="Q41" s="44"/>
      <c r="R41" s="44"/>
      <c r="S41" s="44"/>
      <c r="T41" s="44"/>
      <c r="U41" s="44"/>
      <c r="V41" s="44"/>
      <c r="W41" s="44"/>
      <c r="X41" s="44"/>
      <c r="Y41" s="44"/>
      <c r="Z41" s="44"/>
      <c r="AA41" s="44"/>
    </row>
    <row r="42" spans="1:27" customFormat="1">
      <c r="A42" s="29"/>
      <c r="B42" s="162" t="s">
        <v>297</v>
      </c>
      <c r="C42" s="132"/>
      <c r="D42" s="132"/>
      <c r="E42" s="133"/>
      <c r="F42" s="35"/>
      <c r="G42" s="44"/>
      <c r="H42" s="44"/>
      <c r="I42" s="44"/>
      <c r="J42" s="44"/>
      <c r="K42" s="44"/>
      <c r="L42" s="44"/>
      <c r="M42" s="44"/>
      <c r="N42" s="44"/>
      <c r="O42" s="44"/>
      <c r="P42" s="44"/>
      <c r="Q42" s="44"/>
      <c r="R42" s="44"/>
      <c r="S42" s="44"/>
      <c r="T42" s="44"/>
      <c r="U42" s="44"/>
      <c r="V42" s="44"/>
      <c r="W42" s="44"/>
      <c r="X42" s="44"/>
      <c r="Y42" s="44"/>
      <c r="Z42" s="44"/>
      <c r="AA42" s="44"/>
    </row>
    <row r="43" spans="1:27" customFormat="1">
      <c r="A43" s="29"/>
      <c r="B43" s="162" t="s">
        <v>298</v>
      </c>
      <c r="C43" s="132"/>
      <c r="D43" s="132"/>
      <c r="E43" s="133"/>
      <c r="F43" s="35"/>
      <c r="G43" s="44"/>
      <c r="H43" s="44"/>
      <c r="I43" s="44"/>
      <c r="J43" s="44"/>
      <c r="K43" s="44"/>
      <c r="L43" s="44"/>
      <c r="M43" s="44"/>
      <c r="N43" s="44"/>
      <c r="O43" s="44"/>
      <c r="P43" s="44"/>
      <c r="Q43" s="44"/>
      <c r="R43" s="44"/>
      <c r="S43" s="44"/>
      <c r="T43" s="44"/>
      <c r="U43" s="44"/>
      <c r="V43" s="44"/>
      <c r="W43" s="44"/>
      <c r="X43" s="44"/>
      <c r="Y43" s="44"/>
      <c r="Z43" s="44"/>
      <c r="AA43" s="44"/>
    </row>
    <row r="44" spans="1:27" customFormat="1">
      <c r="A44" s="29"/>
      <c r="B44" s="562" t="s">
        <v>415</v>
      </c>
      <c r="C44" s="132"/>
      <c r="D44" s="132"/>
      <c r="E44" s="133"/>
      <c r="F44" s="35"/>
      <c r="G44" s="44"/>
      <c r="H44" s="44"/>
      <c r="I44" s="44"/>
      <c r="J44" s="44"/>
      <c r="K44" s="44"/>
      <c r="L44" s="44"/>
      <c r="M44" s="44"/>
      <c r="N44" s="44"/>
      <c r="O44" s="44"/>
      <c r="P44" s="44"/>
      <c r="Q44" s="44"/>
      <c r="R44" s="44"/>
      <c r="S44" s="44"/>
      <c r="T44" s="44"/>
      <c r="U44" s="44"/>
      <c r="V44" s="44"/>
      <c r="W44" s="44"/>
      <c r="X44" s="44"/>
      <c r="Y44" s="44"/>
      <c r="Z44" s="44"/>
      <c r="AA44" s="44"/>
    </row>
    <row r="45" spans="1:27" customFormat="1">
      <c r="A45" s="29"/>
      <c r="B45" s="64"/>
      <c r="C45" s="44"/>
      <c r="D45" s="35"/>
      <c r="E45" s="8"/>
      <c r="G45" s="44"/>
      <c r="H45" s="44"/>
      <c r="I45" s="44"/>
      <c r="J45" s="44"/>
      <c r="K45" s="44"/>
      <c r="L45" s="44"/>
      <c r="M45" s="44"/>
      <c r="N45" s="44"/>
      <c r="O45" s="44"/>
      <c r="P45" s="44"/>
      <c r="Q45" s="44"/>
      <c r="R45" s="44"/>
      <c r="S45" s="44"/>
      <c r="T45" s="44"/>
      <c r="U45" s="44"/>
      <c r="V45" s="44"/>
      <c r="W45" s="44"/>
      <c r="X45" s="44"/>
      <c r="Y45" s="44"/>
      <c r="Z45" s="44"/>
      <c r="AA45" s="44"/>
    </row>
    <row r="46" spans="1:27" customFormat="1">
      <c r="A46" s="9" t="s">
        <v>8</v>
      </c>
      <c r="C46" s="44"/>
      <c r="D46" s="8"/>
      <c r="E46" s="8"/>
      <c r="G46" s="44"/>
      <c r="H46" s="44"/>
      <c r="I46" s="44"/>
      <c r="J46" s="44"/>
      <c r="K46" s="44"/>
      <c r="L46" s="44"/>
      <c r="M46" s="44"/>
      <c r="N46" s="44"/>
      <c r="O46" s="44"/>
      <c r="P46" s="44"/>
      <c r="Q46" s="44"/>
      <c r="R46" s="44"/>
      <c r="S46" s="44"/>
      <c r="T46" s="44"/>
      <c r="U46" s="44"/>
      <c r="V46" s="44"/>
      <c r="W46" s="44"/>
      <c r="X46" s="44"/>
      <c r="Y46" s="44"/>
      <c r="Z46" s="44"/>
      <c r="AA46" s="44"/>
    </row>
    <row r="47" spans="1:27" customFormat="1">
      <c r="A47" s="9"/>
      <c r="G47" s="44"/>
      <c r="H47" s="44"/>
      <c r="I47" s="44"/>
      <c r="J47" s="44"/>
      <c r="K47" s="44"/>
      <c r="L47" s="44"/>
      <c r="M47" s="44"/>
      <c r="N47" s="44"/>
      <c r="O47" s="44"/>
      <c r="P47" s="44"/>
      <c r="Q47" s="44"/>
      <c r="R47" s="44"/>
      <c r="S47" s="44"/>
      <c r="T47" s="44"/>
      <c r="U47" s="44"/>
      <c r="V47" s="44"/>
      <c r="W47" s="44"/>
      <c r="X47" s="44"/>
      <c r="Y47" s="44"/>
      <c r="Z47" s="44"/>
      <c r="AA47" s="44"/>
    </row>
    <row r="48" spans="1:27" s="23" customFormat="1">
      <c r="A48" s="47" t="s">
        <v>9</v>
      </c>
      <c r="B48" s="48" t="s">
        <v>18</v>
      </c>
      <c r="C48" s="47" t="s">
        <v>11</v>
      </c>
      <c r="D48" s="47" t="s">
        <v>12</v>
      </c>
      <c r="E48" s="49" t="s">
        <v>13</v>
      </c>
      <c r="F48"/>
      <c r="G48" s="44"/>
      <c r="H48" s="44"/>
      <c r="I48" s="44"/>
      <c r="J48" s="44"/>
      <c r="K48" s="44"/>
      <c r="L48" s="44"/>
      <c r="M48" s="44"/>
      <c r="N48" s="44"/>
      <c r="O48" s="44"/>
      <c r="P48" s="44"/>
      <c r="Q48" s="44"/>
      <c r="R48" s="44"/>
      <c r="S48" s="44"/>
      <c r="T48" s="44"/>
      <c r="U48" s="44"/>
      <c r="V48" s="44"/>
      <c r="W48" s="44"/>
      <c r="X48" s="44"/>
      <c r="Y48" s="44"/>
      <c r="Z48" s="44"/>
      <c r="AA48" s="44"/>
    </row>
    <row r="49" spans="1:27" customFormat="1">
      <c r="A49" s="51">
        <v>1</v>
      </c>
      <c r="B49" s="128" t="s">
        <v>160</v>
      </c>
      <c r="C49" s="129"/>
      <c r="D49" s="127" t="s">
        <v>63</v>
      </c>
      <c r="E49" s="130"/>
      <c r="G49" s="44"/>
      <c r="H49" s="44"/>
      <c r="I49" s="44"/>
      <c r="J49" s="44"/>
      <c r="K49" s="44"/>
      <c r="L49" s="44"/>
      <c r="M49" s="44"/>
      <c r="N49" s="44"/>
      <c r="O49" s="44"/>
      <c r="P49" s="44"/>
      <c r="Q49" s="44"/>
      <c r="R49" s="44"/>
      <c r="S49" s="44"/>
      <c r="T49" s="44"/>
      <c r="U49" s="44"/>
      <c r="V49" s="44"/>
      <c r="W49" s="44"/>
      <c r="X49" s="44"/>
      <c r="Y49" s="44"/>
      <c r="Z49" s="44"/>
      <c r="AA49" s="44"/>
    </row>
    <row r="50" spans="1:27" customFormat="1">
      <c r="A50" s="127">
        <v>2</v>
      </c>
      <c r="B50" s="128" t="s">
        <v>162</v>
      </c>
      <c r="C50" s="131"/>
      <c r="D50" s="150" t="s">
        <v>604</v>
      </c>
      <c r="E50" s="127"/>
      <c r="G50" s="44"/>
      <c r="H50" s="44"/>
      <c r="I50" s="44"/>
      <c r="J50" s="44"/>
      <c r="K50" s="44"/>
      <c r="L50" s="44"/>
      <c r="M50" s="44"/>
      <c r="N50" s="44"/>
      <c r="O50" s="44"/>
      <c r="P50" s="44"/>
      <c r="Q50" s="44"/>
      <c r="R50" s="44"/>
      <c r="S50" s="44"/>
      <c r="T50" s="44"/>
      <c r="U50" s="44"/>
      <c r="V50" s="44"/>
      <c r="W50" s="44"/>
      <c r="X50" s="44"/>
      <c r="Y50" s="44"/>
      <c r="Z50" s="44"/>
      <c r="AA50" s="44"/>
    </row>
    <row r="51" spans="1:27" customFormat="1">
      <c r="A51" s="127">
        <v>3</v>
      </c>
      <c r="B51" s="128" t="s">
        <v>125</v>
      </c>
      <c r="C51" s="131"/>
      <c r="D51" s="127"/>
      <c r="E51" s="130"/>
      <c r="G51" s="44"/>
      <c r="H51" s="44"/>
      <c r="I51" s="44"/>
      <c r="J51" s="44"/>
      <c r="K51" s="44"/>
      <c r="L51" s="44"/>
      <c r="M51" s="44"/>
      <c r="N51" s="44"/>
      <c r="O51" s="44"/>
      <c r="P51" s="44"/>
      <c r="Q51" s="44"/>
      <c r="R51" s="44"/>
      <c r="S51" s="44"/>
      <c r="T51" s="44"/>
      <c r="U51" s="44"/>
      <c r="V51" s="44"/>
      <c r="W51" s="44"/>
      <c r="X51" s="44"/>
      <c r="Y51" s="44"/>
      <c r="Z51" s="44"/>
      <c r="AA51" s="44"/>
    </row>
    <row r="52" spans="1:27" customFormat="1" ht="25.5">
      <c r="A52" s="127" t="s">
        <v>60</v>
      </c>
      <c r="B52" s="128" t="s">
        <v>601</v>
      </c>
      <c r="C52" s="151"/>
      <c r="D52" s="152"/>
      <c r="E52" s="152"/>
      <c r="G52" s="44"/>
      <c r="H52" s="44"/>
      <c r="I52" s="44"/>
      <c r="J52" s="44"/>
      <c r="K52" s="44"/>
      <c r="L52" s="44"/>
      <c r="M52" s="44"/>
      <c r="N52" s="44"/>
      <c r="O52" s="44"/>
      <c r="P52" s="44"/>
      <c r="Q52" s="44"/>
      <c r="R52" s="44"/>
      <c r="S52" s="44"/>
      <c r="T52" s="44"/>
      <c r="U52" s="44"/>
      <c r="V52" s="44"/>
      <c r="W52" s="44"/>
      <c r="X52" s="44"/>
      <c r="Y52" s="44"/>
      <c r="Z52" s="44"/>
      <c r="AA52" s="44"/>
    </row>
    <row r="53" spans="1:27" customFormat="1" ht="25.5">
      <c r="A53" s="127" t="s">
        <v>61</v>
      </c>
      <c r="B53" s="128" t="s">
        <v>301</v>
      </c>
      <c r="C53" s="624" t="str">
        <f>IF(C50&lt;C49,C49-C50,"")</f>
        <v/>
      </c>
      <c r="D53" s="152"/>
      <c r="E53" s="152"/>
      <c r="G53" s="44"/>
      <c r="H53" s="44"/>
      <c r="I53" s="44"/>
      <c r="J53" s="44"/>
      <c r="K53" s="44"/>
      <c r="L53" s="44"/>
      <c r="M53" s="44"/>
      <c r="N53" s="44"/>
      <c r="O53" s="44"/>
      <c r="P53" s="44"/>
      <c r="Q53" s="44"/>
      <c r="R53" s="44"/>
      <c r="S53" s="44"/>
      <c r="T53" s="44"/>
      <c r="U53" s="44"/>
      <c r="V53" s="44"/>
      <c r="W53" s="44"/>
      <c r="X53" s="44"/>
      <c r="Y53" s="44"/>
      <c r="Z53" s="44"/>
      <c r="AA53" s="44"/>
    </row>
    <row r="54" spans="1:27" customFormat="1">
      <c r="A54" s="219"/>
      <c r="B54" s="220"/>
      <c r="C54" s="221"/>
      <c r="D54" s="222"/>
      <c r="E54" s="222"/>
      <c r="G54" s="44"/>
      <c r="H54" s="44"/>
      <c r="I54" s="44"/>
      <c r="J54" s="44"/>
      <c r="K54" s="44"/>
      <c r="L54" s="44"/>
      <c r="M54" s="44"/>
      <c r="N54" s="44"/>
      <c r="O54" s="44"/>
      <c r="P54" s="44"/>
      <c r="Q54" s="44"/>
      <c r="R54" s="44"/>
      <c r="S54" s="44"/>
      <c r="T54" s="44"/>
      <c r="U54" s="44"/>
      <c r="V54" s="44"/>
      <c r="W54" s="44"/>
      <c r="X54" s="44"/>
      <c r="Y54" s="44"/>
      <c r="Z54" s="44"/>
      <c r="AA54" s="44"/>
    </row>
    <row r="55" spans="1:27" customFormat="1">
      <c r="A55" s="9" t="s">
        <v>15</v>
      </c>
      <c r="B55" s="55"/>
      <c r="C55" s="61"/>
      <c r="D55" s="17"/>
      <c r="E55" s="8"/>
      <c r="G55" s="44"/>
      <c r="H55" s="44"/>
      <c r="I55" s="44"/>
      <c r="J55" s="44"/>
      <c r="K55" s="44"/>
      <c r="L55" s="44"/>
      <c r="M55" s="44"/>
      <c r="N55" s="44"/>
      <c r="O55" s="44"/>
      <c r="P55" s="44"/>
      <c r="Q55" s="44"/>
      <c r="R55" s="44"/>
      <c r="S55" s="44"/>
      <c r="T55" s="44"/>
      <c r="U55" s="44"/>
      <c r="V55" s="44"/>
      <c r="W55" s="44"/>
      <c r="X55" s="44"/>
      <c r="Y55" s="44"/>
      <c r="Z55" s="44"/>
      <c r="AA55" s="44"/>
    </row>
    <row r="56" spans="1:27" customFormat="1">
      <c r="A56" s="182" t="s">
        <v>638</v>
      </c>
      <c r="B56" s="55"/>
      <c r="C56" s="61"/>
      <c r="D56" s="17"/>
      <c r="E56" s="8"/>
      <c r="G56" s="44"/>
      <c r="H56" s="44"/>
      <c r="I56" s="44"/>
      <c r="J56" s="44"/>
      <c r="K56" s="44"/>
      <c r="L56" s="44"/>
      <c r="M56" s="44"/>
      <c r="N56" s="44"/>
      <c r="O56" s="44"/>
      <c r="P56" s="44"/>
      <c r="Q56" s="44"/>
      <c r="R56" s="44"/>
      <c r="S56" s="44"/>
      <c r="T56" s="44"/>
      <c r="U56" s="44"/>
      <c r="V56" s="44"/>
      <c r="W56" s="44"/>
      <c r="X56" s="44"/>
      <c r="Y56" s="44"/>
      <c r="Z56" s="44"/>
      <c r="AA56" s="44"/>
    </row>
    <row r="57" spans="1:27" s="57" customFormat="1" ht="12.75"/>
    <row r="58" spans="1:27" s="57" customFormat="1" ht="12.75"/>
    <row r="59" spans="1:27" s="57" customFormat="1" ht="12.75"/>
    <row r="60" spans="1:27" s="57" customFormat="1" ht="12.75"/>
    <row r="61" spans="1:27" s="57" customFormat="1" ht="12.75"/>
    <row r="62" spans="1:27" s="57" customFormat="1" ht="12.75"/>
    <row r="63" spans="1:27" s="57" customFormat="1" ht="12.75"/>
    <row r="64" spans="1:27" s="57" customFormat="1" ht="12.75"/>
    <row r="65" spans="1:1" s="57" customFormat="1" ht="12.75"/>
    <row r="66" spans="1:1" s="57" customFormat="1" ht="12.75"/>
    <row r="67" spans="1:1" s="57" customFormat="1" ht="12.75"/>
    <row r="68" spans="1:1" s="57" customFormat="1" ht="12.75"/>
    <row r="69" spans="1:1" s="57" customFormat="1" ht="12.75"/>
    <row r="70" spans="1:1" s="57" customFormat="1" ht="12.75"/>
    <row r="71" spans="1:1" s="57" customFormat="1" ht="12.75"/>
    <row r="72" spans="1:1" s="57" customFormat="1" ht="12.75">
      <c r="A72" s="21"/>
    </row>
    <row r="73" spans="1:1" s="54" customFormat="1">
      <c r="A73" s="44"/>
    </row>
    <row r="74" spans="1:1" s="54" customFormat="1">
      <c r="A74" s="44"/>
    </row>
    <row r="75" spans="1:1" s="54" customFormat="1">
      <c r="A75" s="44"/>
    </row>
    <row r="76" spans="1:1" s="54" customFormat="1">
      <c r="A76" s="44"/>
    </row>
    <row r="77" spans="1:1" s="54" customFormat="1">
      <c r="A77" s="44"/>
    </row>
    <row r="78" spans="1:1" s="54" customFormat="1">
      <c r="A78" s="44"/>
    </row>
    <row r="79" spans="1:1" s="54" customFormat="1">
      <c r="A79" s="44"/>
    </row>
    <row r="80" spans="1:1" s="54" customFormat="1">
      <c r="A80" s="44"/>
    </row>
    <row r="81" spans="1:1" s="54" customFormat="1">
      <c r="A81" s="44"/>
    </row>
    <row r="82" spans="1:1" s="54" customFormat="1">
      <c r="A82" s="44"/>
    </row>
    <row r="83" spans="1:1" s="54" customFormat="1">
      <c r="A83" s="44"/>
    </row>
    <row r="84" spans="1:1" s="54" customFormat="1">
      <c r="A84" s="44"/>
    </row>
    <row r="85" spans="1:1" s="54" customFormat="1">
      <c r="A85" s="44"/>
    </row>
    <row r="86" spans="1:1" s="54" customFormat="1">
      <c r="A86" s="44"/>
    </row>
    <row r="87" spans="1:1" s="54" customFormat="1">
      <c r="A87" s="44"/>
    </row>
    <row r="88" spans="1:1" s="54" customFormat="1">
      <c r="A88" s="44"/>
    </row>
    <row r="89" spans="1:1" s="54" customFormat="1">
      <c r="A89" s="44"/>
    </row>
    <row r="90" spans="1:1" s="54" customFormat="1">
      <c r="A90" s="44"/>
    </row>
    <row r="91" spans="1:1" s="54" customFormat="1">
      <c r="A91" s="44"/>
    </row>
    <row r="92" spans="1:1" s="54" customFormat="1">
      <c r="A92" s="44"/>
    </row>
    <row r="93" spans="1:1" s="54" customFormat="1">
      <c r="A93" s="44"/>
    </row>
    <row r="94" spans="1:1" s="54" customFormat="1">
      <c r="A94" s="44"/>
    </row>
    <row r="95" spans="1:1" s="54" customFormat="1">
      <c r="A95" s="44"/>
    </row>
    <row r="96" spans="1:1" s="54" customFormat="1">
      <c r="A96" s="44"/>
    </row>
    <row r="97" spans="1:1" s="54" customFormat="1">
      <c r="A97" s="44"/>
    </row>
  </sheetData>
  <printOptions horizontalCentered="1"/>
  <pageMargins left="0.5" right="0.5" top="0.5" bottom="0.5" header="0.3" footer="0.3"/>
  <pageSetup paperSize="9" scale="68" orientation="portrait" r:id="rId1"/>
  <drawing r:id="rId2"/>
</worksheet>
</file>

<file path=xl/worksheets/sheet19.xml><?xml version="1.0" encoding="utf-8"?>
<worksheet xmlns="http://schemas.openxmlformats.org/spreadsheetml/2006/main" xmlns:r="http://schemas.openxmlformats.org/officeDocument/2006/relationships">
  <dimension ref="A1:H59"/>
  <sheetViews>
    <sheetView view="pageBreakPreview" zoomScaleNormal="100" zoomScaleSheetLayoutView="100" workbookViewId="0">
      <selection activeCell="D15" sqref="D15"/>
    </sheetView>
  </sheetViews>
  <sheetFormatPr defaultRowHeight="15"/>
  <cols>
    <col min="1" max="1" width="5.42578125" style="44" customWidth="1"/>
    <col min="2" max="2" width="24.85546875" style="44" customWidth="1"/>
    <col min="3" max="3" width="15.42578125" style="44" bestFit="1" customWidth="1"/>
    <col min="4" max="4" width="17" style="44" bestFit="1" customWidth="1"/>
    <col min="5" max="5" width="12.140625" style="44" bestFit="1" customWidth="1"/>
    <col min="6" max="16384" width="9.140625" style="44"/>
  </cols>
  <sheetData>
    <row r="1" spans="1:8" s="43" customFormat="1" ht="21">
      <c r="A1" s="1" t="s">
        <v>0</v>
      </c>
      <c r="B1"/>
      <c r="C1"/>
      <c r="D1"/>
      <c r="E1" s="133" t="s">
        <v>604</v>
      </c>
    </row>
    <row r="2" spans="1:8" customFormat="1">
      <c r="A2" s="44"/>
      <c r="E2" s="44"/>
      <c r="H2" s="3"/>
    </row>
    <row r="3" spans="1:8" customFormat="1" ht="15.75">
      <c r="A3" s="4" t="s">
        <v>20</v>
      </c>
      <c r="C3" s="85"/>
      <c r="D3" s="86" t="s">
        <v>2</v>
      </c>
      <c r="E3" s="86" t="s">
        <v>3</v>
      </c>
    </row>
    <row r="4" spans="1:8" customFormat="1" ht="15.75">
      <c r="A4" s="4" t="s">
        <v>21</v>
      </c>
      <c r="C4" s="85" t="s">
        <v>5</v>
      </c>
      <c r="D4" s="85"/>
      <c r="E4" s="85"/>
    </row>
    <row r="5" spans="1:8" customFormat="1">
      <c r="A5" s="7"/>
      <c r="C5" s="85" t="s">
        <v>6</v>
      </c>
      <c r="D5" s="85"/>
      <c r="E5" s="85"/>
    </row>
    <row r="6" spans="1:8" customFormat="1">
      <c r="A6" s="7"/>
      <c r="C6" s="115"/>
      <c r="D6" s="115"/>
      <c r="E6" s="115"/>
    </row>
    <row r="7" spans="1:8" s="39" customFormat="1" ht="12.75">
      <c r="A7" s="58"/>
      <c r="B7" s="58"/>
      <c r="C7" s="58"/>
      <c r="D7" s="58"/>
      <c r="E7" s="58"/>
    </row>
    <row r="8" spans="1:8" s="39" customFormat="1" ht="15.75">
      <c r="A8" s="653" t="s">
        <v>137</v>
      </c>
      <c r="B8" s="653"/>
      <c r="C8" s="653"/>
      <c r="D8" s="653"/>
      <c r="E8" s="653"/>
    </row>
    <row r="9" spans="1:8" s="39" customFormat="1" ht="15.75">
      <c r="A9" s="653" t="s">
        <v>159</v>
      </c>
      <c r="B9" s="653"/>
      <c r="C9" s="653"/>
      <c r="D9" s="653"/>
      <c r="E9" s="653"/>
    </row>
    <row r="10" spans="1:8" s="39" customFormat="1" ht="12.75">
      <c r="A10" s="2"/>
      <c r="B10" s="2"/>
      <c r="C10" s="2"/>
      <c r="D10" s="2"/>
      <c r="E10" s="2"/>
    </row>
    <row r="11" spans="1:8" s="39" customFormat="1" ht="12.75">
      <c r="A11" s="196" t="s">
        <v>9</v>
      </c>
      <c r="B11" s="196" t="s">
        <v>18</v>
      </c>
      <c r="C11" s="196" t="s">
        <v>166</v>
      </c>
      <c r="D11" s="196" t="s">
        <v>165</v>
      </c>
      <c r="E11" s="196" t="s">
        <v>124</v>
      </c>
    </row>
    <row r="12" spans="1:8" s="39" customFormat="1" ht="12.75">
      <c r="A12" s="199"/>
      <c r="B12" s="199" t="s">
        <v>153</v>
      </c>
      <c r="C12" s="199" t="s">
        <v>167</v>
      </c>
      <c r="D12" s="199" t="s">
        <v>158</v>
      </c>
      <c r="E12" s="199" t="s">
        <v>105</v>
      </c>
    </row>
    <row r="13" spans="1:8" s="156" customFormat="1" ht="12">
      <c r="A13" s="201" t="s">
        <v>70</v>
      </c>
      <c r="B13" s="201" t="s">
        <v>71</v>
      </c>
      <c r="C13" s="201" t="s">
        <v>76</v>
      </c>
      <c r="D13" s="201" t="s">
        <v>72</v>
      </c>
      <c r="E13" s="201" t="s">
        <v>90</v>
      </c>
    </row>
    <row r="14" spans="1:8" s="39" customFormat="1" ht="12.75">
      <c r="A14" s="157"/>
      <c r="B14" s="94"/>
      <c r="C14" s="94"/>
      <c r="D14" s="94"/>
      <c r="E14" s="158"/>
    </row>
    <row r="15" spans="1:8" s="39" customFormat="1" ht="38.25">
      <c r="A15" s="216">
        <v>1</v>
      </c>
      <c r="B15" s="215" t="s">
        <v>154</v>
      </c>
      <c r="C15" s="192"/>
      <c r="D15" s="217">
        <v>0.3</v>
      </c>
      <c r="E15" s="194">
        <f>C15*D15</f>
        <v>0</v>
      </c>
    </row>
    <row r="16" spans="1:8" s="39" customFormat="1" ht="38.25">
      <c r="A16" s="216">
        <v>2</v>
      </c>
      <c r="B16" s="215" t="s">
        <v>155</v>
      </c>
      <c r="C16" s="192"/>
      <c r="D16" s="217">
        <v>0.5</v>
      </c>
      <c r="E16" s="194">
        <f>C16*D16</f>
        <v>0</v>
      </c>
    </row>
    <row r="17" spans="1:5" s="39" customFormat="1" ht="38.25">
      <c r="A17" s="216">
        <v>3</v>
      </c>
      <c r="B17" s="215" t="s">
        <v>156</v>
      </c>
      <c r="C17" s="192"/>
      <c r="D17" s="217">
        <v>0.7</v>
      </c>
      <c r="E17" s="194">
        <f>C17*D17</f>
        <v>0</v>
      </c>
    </row>
    <row r="18" spans="1:5" s="39" customFormat="1" ht="25.5">
      <c r="A18" s="216">
        <v>4</v>
      </c>
      <c r="B18" s="215" t="s">
        <v>157</v>
      </c>
      <c r="C18" s="192"/>
      <c r="D18" s="217">
        <v>1</v>
      </c>
      <c r="E18" s="194">
        <f>C18*D18</f>
        <v>0</v>
      </c>
    </row>
    <row r="19" spans="1:5" s="39" customFormat="1" ht="12.75">
      <c r="A19" s="153"/>
      <c r="B19" s="147"/>
      <c r="C19" s="147"/>
      <c r="D19" s="147"/>
      <c r="E19" s="154"/>
    </row>
    <row r="20" spans="1:5" s="39" customFormat="1" ht="12.75">
      <c r="A20" s="210"/>
      <c r="B20" s="210" t="s">
        <v>14</v>
      </c>
      <c r="C20" s="203"/>
      <c r="D20" s="203"/>
      <c r="E20" s="218">
        <f>SUM(E15:E19)</f>
        <v>0</v>
      </c>
    </row>
    <row r="21" spans="1:5" s="54" customFormat="1"/>
    <row r="22" spans="1:5" s="54" customFormat="1"/>
    <row r="23" spans="1:5" s="54" customFormat="1"/>
    <row r="24" spans="1:5" s="54" customFormat="1"/>
    <row r="25" spans="1:5" s="54" customFormat="1"/>
    <row r="26" spans="1:5" s="54" customFormat="1">
      <c r="A26" s="44"/>
    </row>
    <row r="27" spans="1:5" s="54" customFormat="1">
      <c r="A27" s="44"/>
    </row>
    <row r="28" spans="1:5" s="54" customFormat="1">
      <c r="A28" s="44"/>
    </row>
    <row r="29" spans="1:5" s="54" customFormat="1">
      <c r="A29" s="44"/>
    </row>
    <row r="30" spans="1:5" s="54" customFormat="1">
      <c r="A30" s="44"/>
    </row>
    <row r="31" spans="1:5" s="54" customFormat="1">
      <c r="A31" s="44"/>
    </row>
    <row r="32" spans="1:5" s="54" customFormat="1">
      <c r="A32" s="44"/>
    </row>
    <row r="33" spans="1:1" s="54" customFormat="1">
      <c r="A33" s="44"/>
    </row>
    <row r="34" spans="1:1" s="54" customFormat="1">
      <c r="A34" s="44"/>
    </row>
    <row r="35" spans="1:1" s="54" customFormat="1">
      <c r="A35" s="44"/>
    </row>
    <row r="36" spans="1:1" s="54" customFormat="1">
      <c r="A36" s="44"/>
    </row>
    <row r="37" spans="1:1" s="54" customFormat="1">
      <c r="A37" s="44"/>
    </row>
    <row r="38" spans="1:1" s="54" customFormat="1">
      <c r="A38" s="44"/>
    </row>
    <row r="39" spans="1:1" s="54" customFormat="1">
      <c r="A39" s="44"/>
    </row>
    <row r="40" spans="1:1" s="54" customFormat="1">
      <c r="A40" s="44"/>
    </row>
    <row r="41" spans="1:1" s="54" customFormat="1">
      <c r="A41" s="44"/>
    </row>
    <row r="42" spans="1:1" s="54" customFormat="1">
      <c r="A42" s="44"/>
    </row>
    <row r="43" spans="1:1" s="54" customFormat="1">
      <c r="A43" s="44"/>
    </row>
    <row r="44" spans="1:1" s="54" customFormat="1">
      <c r="A44" s="44"/>
    </row>
    <row r="45" spans="1:1" s="54" customFormat="1">
      <c r="A45" s="44"/>
    </row>
    <row r="46" spans="1:1" s="54" customFormat="1">
      <c r="A46" s="44"/>
    </row>
    <row r="47" spans="1:1" s="54" customFormat="1">
      <c r="A47" s="44"/>
    </row>
    <row r="48" spans="1:1" s="54" customFormat="1">
      <c r="A48" s="44"/>
    </row>
    <row r="49" spans="1:1" s="54" customFormat="1">
      <c r="A49" s="44"/>
    </row>
    <row r="50" spans="1:1" s="54" customFormat="1">
      <c r="A50" s="44"/>
    </row>
    <row r="51" spans="1:1" s="54" customFormat="1">
      <c r="A51" s="44"/>
    </row>
    <row r="52" spans="1:1" s="54" customFormat="1">
      <c r="A52" s="44"/>
    </row>
    <row r="53" spans="1:1" s="54" customFormat="1">
      <c r="A53" s="44"/>
    </row>
    <row r="54" spans="1:1" s="54" customFormat="1">
      <c r="A54" s="44"/>
    </row>
    <row r="55" spans="1:1" s="54" customFormat="1">
      <c r="A55" s="44"/>
    </row>
    <row r="56" spans="1:1" s="54" customFormat="1">
      <c r="A56" s="44"/>
    </row>
    <row r="57" spans="1:1" s="54" customFormat="1">
      <c r="A57" s="44"/>
    </row>
    <row r="58" spans="1:1" s="54" customFormat="1">
      <c r="A58" s="44"/>
    </row>
    <row r="59" spans="1:1" s="54" customFormat="1">
      <c r="A59" s="44"/>
    </row>
  </sheetData>
  <mergeCells count="2">
    <mergeCell ref="A8:E8"/>
    <mergeCell ref="A9:E9"/>
  </mergeCells>
  <pageMargins left="0.2" right="0.2" top="0.5" bottom="0.5" header="0.3" footer="0.3"/>
  <pageSetup paperSize="9" scale="64" orientation="portrait" r:id="rId1"/>
</worksheet>
</file>

<file path=xl/worksheets/sheet20.xml><?xml version="1.0" encoding="utf-8"?>
<worksheet xmlns="http://schemas.openxmlformats.org/spreadsheetml/2006/main" xmlns:r="http://schemas.openxmlformats.org/officeDocument/2006/relationships">
  <dimension ref="A1:L88"/>
  <sheetViews>
    <sheetView view="pageBreakPreview" zoomScaleNormal="100" zoomScaleSheetLayoutView="100" workbookViewId="0">
      <selection activeCell="C21" sqref="C21"/>
    </sheetView>
  </sheetViews>
  <sheetFormatPr defaultRowHeight="15"/>
  <cols>
    <col min="1" max="1" width="6.7109375" style="44" customWidth="1"/>
    <col min="2" max="2" width="49.28515625" style="44" customWidth="1"/>
    <col min="3" max="3" width="16.7109375" style="44" customWidth="1"/>
    <col min="4" max="4" width="15.140625" style="44" customWidth="1"/>
    <col min="5" max="5" width="16.5703125" style="44" customWidth="1"/>
    <col min="6" max="6" width="12.5703125" style="44" customWidth="1"/>
    <col min="7" max="7" width="12.85546875" style="44" customWidth="1"/>
    <col min="8" max="8" width="14.28515625" style="44" customWidth="1"/>
    <col min="9" max="16384" width="9.140625" style="44"/>
  </cols>
  <sheetData>
    <row r="1" spans="1:12" s="43" customFormat="1" ht="21">
      <c r="A1" s="1" t="s">
        <v>0</v>
      </c>
      <c r="B1"/>
      <c r="C1"/>
      <c r="D1"/>
      <c r="E1" s="2"/>
      <c r="F1" s="2" t="s">
        <v>639</v>
      </c>
    </row>
    <row r="2" spans="1:12" customFormat="1">
      <c r="A2" s="44"/>
      <c r="L2" s="3"/>
    </row>
    <row r="3" spans="1:12" customFormat="1"/>
    <row r="4" spans="1:12" customFormat="1" ht="15.75">
      <c r="A4" s="4" t="s">
        <v>295</v>
      </c>
      <c r="C4" s="44"/>
      <c r="D4" s="5"/>
      <c r="E4" s="6" t="s">
        <v>2</v>
      </c>
      <c r="F4" s="6" t="s">
        <v>3</v>
      </c>
    </row>
    <row r="5" spans="1:12" customFormat="1" ht="15.75">
      <c r="A5" s="4" t="s">
        <v>21</v>
      </c>
      <c r="C5" s="44"/>
      <c r="D5" s="5" t="s">
        <v>5</v>
      </c>
      <c r="E5" s="5"/>
      <c r="F5" s="5"/>
    </row>
    <row r="6" spans="1:12" customFormat="1">
      <c r="A6" s="7"/>
      <c r="C6" s="44"/>
      <c r="D6" s="5" t="s">
        <v>6</v>
      </c>
      <c r="E6" s="5"/>
      <c r="F6" s="5"/>
    </row>
    <row r="7" spans="1:12" customFormat="1">
      <c r="F7" s="44"/>
    </row>
    <row r="8" spans="1:12" customFormat="1" ht="15.75">
      <c r="A8" s="4" t="s">
        <v>607</v>
      </c>
      <c r="F8" s="44"/>
    </row>
    <row r="9" spans="1:12" customFormat="1">
      <c r="F9" s="44"/>
    </row>
    <row r="10" spans="1:12" customFormat="1">
      <c r="F10" s="44"/>
    </row>
    <row r="11" spans="1:12" customFormat="1">
      <c r="F11" s="44"/>
    </row>
    <row r="12" spans="1:12" customFormat="1">
      <c r="F12" s="44"/>
    </row>
    <row r="13" spans="1:12" customFormat="1">
      <c r="F13" s="44"/>
    </row>
    <row r="14" spans="1:12" customFormat="1">
      <c r="F14" s="44"/>
    </row>
    <row r="15" spans="1:12" customFormat="1">
      <c r="F15" s="44"/>
    </row>
    <row r="16" spans="1:12" customFormat="1">
      <c r="F16" s="44"/>
    </row>
    <row r="17" spans="1:7" customFormat="1">
      <c r="F17" s="44"/>
    </row>
    <row r="18" spans="1:7" customFormat="1">
      <c r="F18" s="44"/>
    </row>
    <row r="19" spans="1:7" customFormat="1">
      <c r="F19" s="44"/>
    </row>
    <row r="20" spans="1:7" customFormat="1">
      <c r="F20" s="44"/>
    </row>
    <row r="21" spans="1:7" customFormat="1">
      <c r="A21" s="9" t="s">
        <v>92</v>
      </c>
      <c r="F21" s="2" t="s">
        <v>359</v>
      </c>
      <c r="G21" s="561" t="s">
        <v>353</v>
      </c>
    </row>
    <row r="22" spans="1:7" customFormat="1">
      <c r="A22" s="9"/>
      <c r="F22" s="189"/>
    </row>
    <row r="23" spans="1:7" customFormat="1">
      <c r="A23" s="116">
        <v>1.1000000000000001</v>
      </c>
      <c r="B23" s="162" t="s">
        <v>488</v>
      </c>
      <c r="C23" s="132"/>
      <c r="D23" s="132"/>
      <c r="E23" s="2"/>
      <c r="F23" s="123" t="s">
        <v>24</v>
      </c>
      <c r="G23" s="123" t="s">
        <v>24</v>
      </c>
    </row>
    <row r="24" spans="1:7" customFormat="1">
      <c r="A24" s="46"/>
      <c r="B24" s="562" t="s">
        <v>415</v>
      </c>
      <c r="C24" s="44"/>
      <c r="D24" s="44"/>
      <c r="E24" s="8"/>
      <c r="F24" s="8"/>
      <c r="G24" s="44"/>
    </row>
    <row r="25" spans="1:7" customFormat="1">
      <c r="A25" s="29"/>
      <c r="B25" s="23"/>
      <c r="C25" s="132"/>
      <c r="D25" s="132"/>
      <c r="E25" s="2"/>
      <c r="F25" s="35"/>
    </row>
    <row r="26" spans="1:7" customFormat="1">
      <c r="A26" s="116">
        <v>1.2</v>
      </c>
      <c r="B26" s="162" t="s">
        <v>489</v>
      </c>
      <c r="C26" s="132"/>
      <c r="D26" s="132"/>
      <c r="E26" s="2"/>
      <c r="F26" s="123" t="s">
        <v>24</v>
      </c>
      <c r="G26" s="123" t="s">
        <v>24</v>
      </c>
    </row>
    <row r="27" spans="1:7" customFormat="1">
      <c r="A27" s="29"/>
      <c r="B27" s="162" t="s">
        <v>490</v>
      </c>
      <c r="C27" s="132"/>
      <c r="D27" s="132"/>
      <c r="E27" s="2"/>
      <c r="F27" s="35"/>
    </row>
    <row r="28" spans="1:7" customFormat="1">
      <c r="A28" s="29"/>
      <c r="B28" s="162"/>
      <c r="C28" s="132"/>
      <c r="D28" s="132"/>
      <c r="E28" s="2"/>
      <c r="F28" s="35"/>
    </row>
    <row r="29" spans="1:7" customFormat="1">
      <c r="A29" s="116">
        <v>1.3</v>
      </c>
      <c r="B29" s="95" t="s">
        <v>316</v>
      </c>
      <c r="C29" s="132"/>
      <c r="D29" s="132"/>
      <c r="E29" s="2"/>
      <c r="F29" s="123" t="s">
        <v>24</v>
      </c>
      <c r="G29" s="123" t="s">
        <v>24</v>
      </c>
    </row>
    <row r="30" spans="1:7" customFormat="1">
      <c r="A30" s="29"/>
      <c r="B30" s="162" t="s">
        <v>349</v>
      </c>
      <c r="C30" s="132"/>
      <c r="D30" s="132"/>
      <c r="E30" s="2"/>
      <c r="F30" s="35"/>
    </row>
    <row r="31" spans="1:7" customFormat="1">
      <c r="A31" s="29"/>
      <c r="B31" s="162" t="s">
        <v>350</v>
      </c>
      <c r="C31" s="132"/>
      <c r="D31" s="132"/>
      <c r="E31" s="2"/>
      <c r="F31" s="35"/>
    </row>
    <row r="32" spans="1:7" customFormat="1">
      <c r="A32" s="29"/>
      <c r="B32" s="162"/>
      <c r="C32" s="132"/>
      <c r="D32" s="132"/>
      <c r="E32" s="2"/>
      <c r="F32" s="35"/>
    </row>
    <row r="33" spans="1:7" customFormat="1">
      <c r="A33" s="29">
        <v>1.4</v>
      </c>
      <c r="B33" s="162" t="s">
        <v>317</v>
      </c>
      <c r="C33" s="132"/>
      <c r="D33" s="132"/>
      <c r="E33" s="2"/>
      <c r="F33" s="123" t="s">
        <v>24</v>
      </c>
      <c r="G33" s="123" t="s">
        <v>24</v>
      </c>
    </row>
    <row r="34" spans="1:7" customFormat="1">
      <c r="A34" s="29"/>
      <c r="B34" s="162" t="s">
        <v>491</v>
      </c>
      <c r="C34" s="132"/>
      <c r="D34" s="132"/>
      <c r="E34" s="2"/>
      <c r="F34" s="35"/>
    </row>
    <row r="35" spans="1:7" customFormat="1">
      <c r="A35" s="29"/>
      <c r="B35" s="162" t="s">
        <v>608</v>
      </c>
      <c r="C35" s="132"/>
      <c r="D35" s="132"/>
      <c r="E35" s="2"/>
      <c r="F35" s="35"/>
    </row>
    <row r="36" spans="1:7" customFormat="1">
      <c r="A36" s="12"/>
      <c r="F36" s="44"/>
    </row>
    <row r="37" spans="1:7" customFormat="1">
      <c r="A37" s="9" t="s">
        <v>8</v>
      </c>
      <c r="F37" s="44"/>
    </row>
    <row r="38" spans="1:7" customFormat="1">
      <c r="A38" s="9"/>
    </row>
    <row r="39" spans="1:7" s="23" customFormat="1" ht="12.75">
      <c r="A39" s="47" t="s">
        <v>9</v>
      </c>
      <c r="B39" s="48" t="s">
        <v>18</v>
      </c>
      <c r="C39" s="47" t="s">
        <v>11</v>
      </c>
      <c r="D39" s="47" t="s">
        <v>12</v>
      </c>
      <c r="E39" s="49" t="s">
        <v>13</v>
      </c>
    </row>
    <row r="40" spans="1:7" s="23" customFormat="1" ht="25.5">
      <c r="A40" s="191">
        <v>1</v>
      </c>
      <c r="B40" s="128" t="s">
        <v>318</v>
      </c>
      <c r="C40" s="129"/>
      <c r="D40" s="127" t="s">
        <v>64</v>
      </c>
      <c r="E40" s="130"/>
    </row>
    <row r="41" spans="1:7" s="23" customFormat="1" ht="12.75">
      <c r="A41" s="127">
        <v>2</v>
      </c>
      <c r="B41" s="225" t="s">
        <v>163</v>
      </c>
      <c r="C41" s="131">
        <f>B4.9.5a!F21</f>
        <v>0</v>
      </c>
      <c r="D41" s="127"/>
      <c r="E41" s="127"/>
    </row>
    <row r="42" spans="1:7" s="23" customFormat="1" ht="12.75">
      <c r="A42" s="127">
        <v>3</v>
      </c>
      <c r="B42" s="128" t="s">
        <v>125</v>
      </c>
      <c r="C42" s="131"/>
      <c r="D42" s="127"/>
      <c r="E42" s="130"/>
    </row>
    <row r="43" spans="1:7" s="23" customFormat="1" ht="25.5">
      <c r="A43" s="191" t="s">
        <v>60</v>
      </c>
      <c r="B43" s="128" t="s">
        <v>601</v>
      </c>
      <c r="C43" s="223" t="str">
        <f>IF(C41=C40,"NO ADJUSTMENT","")</f>
        <v>NO ADJUSTMENT</v>
      </c>
      <c r="D43" s="152"/>
      <c r="E43" s="152"/>
    </row>
    <row r="44" spans="1:7" s="23" customFormat="1" ht="25.5">
      <c r="A44" s="191" t="s">
        <v>61</v>
      </c>
      <c r="B44" s="128" t="s">
        <v>301</v>
      </c>
      <c r="C44" s="624" t="str">
        <f>IF(C41&lt;C40,C40-C41,"")</f>
        <v/>
      </c>
      <c r="D44" s="127"/>
      <c r="E44" s="130"/>
    </row>
    <row r="45" spans="1:7" s="39" customFormat="1">
      <c r="A45"/>
      <c r="B45"/>
      <c r="C45"/>
      <c r="D45"/>
      <c r="E45"/>
    </row>
    <row r="46" spans="1:7" s="39" customFormat="1">
      <c r="A46" s="9" t="s">
        <v>15</v>
      </c>
      <c r="B46"/>
      <c r="C46"/>
      <c r="D46"/>
      <c r="E46"/>
    </row>
    <row r="47" spans="1:7" s="39" customFormat="1">
      <c r="A47" s="182" t="s">
        <v>640</v>
      </c>
      <c r="B47"/>
      <c r="C47"/>
      <c r="D47"/>
      <c r="E47"/>
    </row>
    <row r="48" spans="1:7" s="57" customFormat="1" ht="12.75"/>
    <row r="49" spans="1:6" s="54" customFormat="1">
      <c r="A49" s="57"/>
      <c r="B49" s="57"/>
      <c r="C49" s="57"/>
      <c r="D49" s="57"/>
      <c r="E49" s="57"/>
      <c r="F49" s="57"/>
    </row>
    <row r="50" spans="1:6" s="54" customFormat="1"/>
    <row r="51" spans="1:6" s="54" customFormat="1"/>
    <row r="52" spans="1:6" s="54" customFormat="1"/>
    <row r="53" spans="1:6" s="54" customFormat="1"/>
    <row r="54" spans="1:6" s="54" customFormat="1"/>
    <row r="55" spans="1:6" s="54" customFormat="1">
      <c r="A55" s="44"/>
    </row>
    <row r="56" spans="1:6" s="54" customFormat="1">
      <c r="A56" s="44"/>
    </row>
    <row r="57" spans="1:6" s="54" customFormat="1">
      <c r="A57" s="44"/>
    </row>
    <row r="58" spans="1:6" s="54" customFormat="1">
      <c r="A58" s="44"/>
    </row>
    <row r="59" spans="1:6" s="54" customFormat="1">
      <c r="A59" s="44"/>
    </row>
    <row r="60" spans="1:6" s="54" customFormat="1">
      <c r="A60" s="44"/>
    </row>
    <row r="61" spans="1:6" s="54" customFormat="1">
      <c r="A61" s="44"/>
    </row>
    <row r="62" spans="1:6" s="54" customFormat="1">
      <c r="A62" s="44"/>
    </row>
    <row r="63" spans="1:6" s="54" customFormat="1">
      <c r="A63" s="44"/>
    </row>
    <row r="64" spans="1:6" s="54" customFormat="1">
      <c r="A64" s="44"/>
    </row>
    <row r="65" spans="1:1" s="54" customFormat="1">
      <c r="A65" s="44"/>
    </row>
    <row r="66" spans="1:1" s="54" customFormat="1">
      <c r="A66" s="44"/>
    </row>
    <row r="67" spans="1:1" s="54" customFormat="1">
      <c r="A67" s="44"/>
    </row>
    <row r="68" spans="1:1" s="54" customFormat="1">
      <c r="A68" s="44"/>
    </row>
    <row r="69" spans="1:1" s="54" customFormat="1">
      <c r="A69" s="44"/>
    </row>
    <row r="70" spans="1:1" s="54" customFormat="1">
      <c r="A70" s="44"/>
    </row>
    <row r="71" spans="1:1" s="54" customFormat="1">
      <c r="A71" s="44"/>
    </row>
    <row r="72" spans="1:1" s="54" customFormat="1">
      <c r="A72" s="44"/>
    </row>
    <row r="73" spans="1:1" s="54" customFormat="1">
      <c r="A73" s="44"/>
    </row>
    <row r="74" spans="1:1" s="54" customFormat="1">
      <c r="A74" s="44"/>
    </row>
    <row r="75" spans="1:1" s="54" customFormat="1">
      <c r="A75" s="44"/>
    </row>
    <row r="76" spans="1:1" s="54" customFormat="1">
      <c r="A76" s="44"/>
    </row>
    <row r="77" spans="1:1" s="54" customFormat="1">
      <c r="A77" s="44"/>
    </row>
    <row r="78" spans="1:1" s="54" customFormat="1">
      <c r="A78" s="44"/>
    </row>
    <row r="79" spans="1:1" s="54" customFormat="1">
      <c r="A79" s="44"/>
    </row>
    <row r="80" spans="1:1" s="54" customFormat="1">
      <c r="A80" s="44"/>
    </row>
    <row r="81" spans="1:1" s="54" customFormat="1">
      <c r="A81" s="44"/>
    </row>
    <row r="82" spans="1:1" s="54" customFormat="1">
      <c r="A82" s="44"/>
    </row>
    <row r="83" spans="1:1" s="54" customFormat="1">
      <c r="A83" s="44"/>
    </row>
    <row r="84" spans="1:1" s="54" customFormat="1">
      <c r="A84" s="44"/>
    </row>
    <row r="85" spans="1:1" s="54" customFormat="1">
      <c r="A85" s="44"/>
    </row>
    <row r="86" spans="1:1" s="54" customFormat="1">
      <c r="A86" s="44"/>
    </row>
    <row r="87" spans="1:1" s="54" customFormat="1">
      <c r="A87" s="44"/>
    </row>
    <row r="88" spans="1:1" s="54" customFormat="1">
      <c r="A88" s="44"/>
    </row>
  </sheetData>
  <printOptions horizontalCentered="1"/>
  <pageMargins left="0.5" right="0.5" top="0.5" bottom="0.5" header="0" footer="0"/>
  <pageSetup paperSize="9" scale="71" orientation="portrait" r:id="rId1"/>
  <drawing r:id="rId2"/>
</worksheet>
</file>

<file path=xl/worksheets/sheet21.xml><?xml version="1.0" encoding="utf-8"?>
<worksheet xmlns="http://schemas.openxmlformats.org/spreadsheetml/2006/main" xmlns:r="http://schemas.openxmlformats.org/officeDocument/2006/relationships">
  <dimension ref="A1:I60"/>
  <sheetViews>
    <sheetView view="pageBreakPreview" zoomScaleNormal="100" zoomScaleSheetLayoutView="100" workbookViewId="0">
      <selection activeCell="I18" sqref="I18"/>
    </sheetView>
  </sheetViews>
  <sheetFormatPr defaultRowHeight="15"/>
  <cols>
    <col min="1" max="1" width="5.42578125" style="44" customWidth="1"/>
    <col min="2" max="2" width="24.85546875" style="44" customWidth="1"/>
    <col min="3" max="3" width="19.140625" style="44" customWidth="1"/>
    <col min="4" max="4" width="12.140625" style="44" bestFit="1" customWidth="1"/>
    <col min="5" max="5" width="20.140625" style="44" bestFit="1" customWidth="1"/>
    <col min="6" max="6" width="14.85546875" style="44" customWidth="1"/>
    <col min="7" max="16384" width="9.140625" style="44"/>
  </cols>
  <sheetData>
    <row r="1" spans="1:9" s="43" customFormat="1" ht="21">
      <c r="A1" s="1" t="s">
        <v>0</v>
      </c>
      <c r="B1"/>
      <c r="C1"/>
      <c r="D1"/>
      <c r="E1"/>
      <c r="F1" s="133" t="s">
        <v>606</v>
      </c>
    </row>
    <row r="2" spans="1:9" customFormat="1">
      <c r="A2" s="44"/>
      <c r="F2" s="44"/>
      <c r="I2" s="3"/>
    </row>
    <row r="3" spans="1:9" customFormat="1" ht="15.75">
      <c r="A3" s="4" t="s">
        <v>20</v>
      </c>
      <c r="C3" s="44"/>
      <c r="D3" s="85"/>
      <c r="E3" s="86" t="s">
        <v>2</v>
      </c>
      <c r="F3" s="86" t="s">
        <v>3</v>
      </c>
    </row>
    <row r="4" spans="1:9" customFormat="1" ht="15.75">
      <c r="A4" s="4" t="s">
        <v>21</v>
      </c>
      <c r="C4" s="44"/>
      <c r="D4" s="85" t="s">
        <v>5</v>
      </c>
      <c r="E4" s="85"/>
      <c r="F4" s="85"/>
    </row>
    <row r="5" spans="1:9" customFormat="1">
      <c r="A5" s="7"/>
      <c r="C5" s="44"/>
      <c r="D5" s="85" t="s">
        <v>6</v>
      </c>
      <c r="E5" s="85"/>
      <c r="F5" s="85"/>
    </row>
    <row r="6" spans="1:9" customFormat="1">
      <c r="A6" s="7"/>
      <c r="C6" s="115"/>
      <c r="D6" s="115"/>
      <c r="E6" s="115"/>
      <c r="F6" s="115"/>
    </row>
    <row r="7" spans="1:9" s="39" customFormat="1" ht="12.75">
      <c r="A7" s="58"/>
      <c r="B7" s="58"/>
      <c r="C7" s="58"/>
      <c r="D7" s="58"/>
      <c r="E7" s="58"/>
      <c r="F7" s="58"/>
    </row>
    <row r="8" spans="1:9" s="39" customFormat="1" ht="15.75">
      <c r="A8" s="653" t="s">
        <v>137</v>
      </c>
      <c r="B8" s="653"/>
      <c r="C8" s="653"/>
      <c r="D8" s="653"/>
      <c r="E8" s="653"/>
      <c r="F8" s="653"/>
    </row>
    <row r="9" spans="1:9" s="39" customFormat="1" ht="15.75">
      <c r="A9" s="653" t="s">
        <v>164</v>
      </c>
      <c r="B9" s="653"/>
      <c r="C9" s="653"/>
      <c r="D9" s="653"/>
      <c r="E9" s="653"/>
      <c r="F9" s="653"/>
    </row>
    <row r="10" spans="1:9" s="39" customFormat="1" ht="12.75">
      <c r="A10" s="2"/>
      <c r="B10" s="2"/>
      <c r="C10" s="2"/>
      <c r="D10" s="2"/>
      <c r="E10" s="2"/>
      <c r="F10" s="2"/>
    </row>
    <row r="11" spans="1:9" s="39" customFormat="1" ht="12.75">
      <c r="A11" s="196" t="s">
        <v>9</v>
      </c>
      <c r="B11" s="196" t="s">
        <v>18</v>
      </c>
      <c r="C11" s="196" t="s">
        <v>166</v>
      </c>
      <c r="D11" s="196" t="s">
        <v>172</v>
      </c>
      <c r="E11" s="196" t="s">
        <v>170</v>
      </c>
      <c r="F11" s="196" t="s">
        <v>124</v>
      </c>
    </row>
    <row r="12" spans="1:9" s="39" customFormat="1" ht="12.75">
      <c r="A12" s="199"/>
      <c r="B12" s="199" t="s">
        <v>173</v>
      </c>
      <c r="C12" s="199" t="s">
        <v>168</v>
      </c>
      <c r="D12" s="199" t="s">
        <v>169</v>
      </c>
      <c r="E12" s="199" t="s">
        <v>171</v>
      </c>
      <c r="F12" s="199" t="s">
        <v>105</v>
      </c>
    </row>
    <row r="13" spans="1:9" s="156" customFormat="1" ht="12">
      <c r="A13" s="201" t="s">
        <v>70</v>
      </c>
      <c r="B13" s="201" t="s">
        <v>71</v>
      </c>
      <c r="C13" s="201" t="s">
        <v>76</v>
      </c>
      <c r="D13" s="201" t="s">
        <v>72</v>
      </c>
      <c r="E13" s="201" t="s">
        <v>73</v>
      </c>
      <c r="F13" s="201" t="s">
        <v>174</v>
      </c>
    </row>
    <row r="14" spans="1:9" s="39" customFormat="1" ht="12.75">
      <c r="A14" s="157"/>
      <c r="B14" s="94"/>
      <c r="C14" s="94"/>
      <c r="D14" s="94"/>
      <c r="E14" s="94"/>
      <c r="F14" s="158"/>
    </row>
    <row r="15" spans="1:9" s="39" customFormat="1" ht="12.75">
      <c r="A15" s="216">
        <v>1</v>
      </c>
      <c r="B15" s="215"/>
      <c r="C15" s="192"/>
      <c r="D15" s="229"/>
      <c r="E15" s="229">
        <f>IF(D15&lt;=5%,D15,5%)</f>
        <v>0</v>
      </c>
      <c r="F15" s="194">
        <f>C15*E15</f>
        <v>0</v>
      </c>
    </row>
    <row r="16" spans="1:9" s="39" customFormat="1" ht="12.75">
      <c r="A16" s="216">
        <v>2</v>
      </c>
      <c r="B16" s="215"/>
      <c r="C16" s="192"/>
      <c r="D16" s="229"/>
      <c r="E16" s="229">
        <f>IF(D16&lt;=5%,D16,5%)</f>
        <v>0</v>
      </c>
      <c r="F16" s="194">
        <f>C16*E16</f>
        <v>0</v>
      </c>
    </row>
    <row r="17" spans="1:6" s="39" customFormat="1" ht="12.75">
      <c r="A17" s="216">
        <v>3</v>
      </c>
      <c r="B17" s="215"/>
      <c r="C17" s="192"/>
      <c r="D17" s="229"/>
      <c r="E17" s="229">
        <f>IF(D17&lt;=5%,D17,5%)</f>
        <v>0</v>
      </c>
      <c r="F17" s="194">
        <f>C17*E17</f>
        <v>0</v>
      </c>
    </row>
    <row r="18" spans="1:6" s="39" customFormat="1" ht="12.75">
      <c r="A18" s="216">
        <v>4</v>
      </c>
      <c r="B18" s="215"/>
      <c r="C18" s="192"/>
      <c r="D18" s="229"/>
      <c r="E18" s="229">
        <f>IF(D18&lt;=5%,D18,5%)</f>
        <v>0</v>
      </c>
      <c r="F18" s="194">
        <f>C18*E18</f>
        <v>0</v>
      </c>
    </row>
    <row r="19" spans="1:6" s="39" customFormat="1" ht="12.75">
      <c r="A19" s="226">
        <v>5</v>
      </c>
      <c r="B19" s="227"/>
      <c r="C19" s="228"/>
      <c r="D19" s="229"/>
      <c r="E19" s="229">
        <f>IF(D19&lt;=5%,D19,5%)</f>
        <v>0</v>
      </c>
      <c r="F19" s="194">
        <f>C19*E19</f>
        <v>0</v>
      </c>
    </row>
    <row r="20" spans="1:6" s="39" customFormat="1" ht="12.75">
      <c r="A20" s="153"/>
      <c r="B20" s="147"/>
      <c r="C20" s="147"/>
      <c r="D20" s="147"/>
      <c r="E20" s="147"/>
      <c r="F20" s="154"/>
    </row>
    <row r="21" spans="1:6" s="39" customFormat="1" ht="12.75">
      <c r="A21" s="210"/>
      <c r="B21" s="210" t="s">
        <v>14</v>
      </c>
      <c r="C21" s="203"/>
      <c r="D21" s="203"/>
      <c r="E21" s="203"/>
      <c r="F21" s="218">
        <f>SUM(F15:F20)</f>
        <v>0</v>
      </c>
    </row>
    <row r="22" spans="1:6" s="54" customFormat="1"/>
    <row r="23" spans="1:6" s="54" customFormat="1"/>
    <row r="24" spans="1:6" s="54" customFormat="1"/>
    <row r="25" spans="1:6" s="54" customFormat="1"/>
    <row r="26" spans="1:6" s="54" customFormat="1"/>
    <row r="27" spans="1:6" s="54" customFormat="1">
      <c r="A27" s="44"/>
    </row>
    <row r="28" spans="1:6" s="54" customFormat="1">
      <c r="A28" s="44"/>
    </row>
    <row r="29" spans="1:6" s="54" customFormat="1">
      <c r="A29" s="44"/>
    </row>
    <row r="30" spans="1:6" s="54" customFormat="1">
      <c r="A30" s="44"/>
    </row>
    <row r="31" spans="1:6" s="54" customFormat="1">
      <c r="A31" s="44"/>
    </row>
    <row r="32" spans="1:6" s="54" customFormat="1">
      <c r="A32" s="44"/>
    </row>
    <row r="33" spans="1:1" s="54" customFormat="1">
      <c r="A33" s="44"/>
    </row>
    <row r="34" spans="1:1" s="54" customFormat="1">
      <c r="A34" s="44"/>
    </row>
    <row r="35" spans="1:1" s="54" customFormat="1">
      <c r="A35" s="44"/>
    </row>
    <row r="36" spans="1:1" s="54" customFormat="1">
      <c r="A36" s="44"/>
    </row>
    <row r="37" spans="1:1" s="54" customFormat="1">
      <c r="A37" s="44"/>
    </row>
    <row r="38" spans="1:1" s="54" customFormat="1">
      <c r="A38" s="44"/>
    </row>
    <row r="39" spans="1:1" s="54" customFormat="1">
      <c r="A39" s="44"/>
    </row>
    <row r="40" spans="1:1" s="54" customFormat="1">
      <c r="A40" s="44"/>
    </row>
    <row r="41" spans="1:1" s="54" customFormat="1">
      <c r="A41" s="44"/>
    </row>
    <row r="42" spans="1:1" s="54" customFormat="1">
      <c r="A42" s="44"/>
    </row>
    <row r="43" spans="1:1" s="54" customFormat="1">
      <c r="A43" s="44"/>
    </row>
    <row r="44" spans="1:1" s="54" customFormat="1">
      <c r="A44" s="44"/>
    </row>
    <row r="45" spans="1:1" s="54" customFormat="1">
      <c r="A45" s="44"/>
    </row>
    <row r="46" spans="1:1" s="54" customFormat="1">
      <c r="A46" s="44"/>
    </row>
    <row r="47" spans="1:1" s="54" customFormat="1">
      <c r="A47" s="44"/>
    </row>
    <row r="48" spans="1:1" s="54" customFormat="1">
      <c r="A48" s="44"/>
    </row>
    <row r="49" spans="1:1" s="54" customFormat="1">
      <c r="A49" s="44"/>
    </row>
    <row r="50" spans="1:1" s="54" customFormat="1">
      <c r="A50" s="44"/>
    </row>
    <row r="51" spans="1:1" s="54" customFormat="1">
      <c r="A51" s="44"/>
    </row>
    <row r="52" spans="1:1" s="54" customFormat="1">
      <c r="A52" s="44"/>
    </row>
    <row r="53" spans="1:1" s="54" customFormat="1">
      <c r="A53" s="44"/>
    </row>
    <row r="54" spans="1:1" s="54" customFormat="1">
      <c r="A54" s="44"/>
    </row>
    <row r="55" spans="1:1" s="54" customFormat="1">
      <c r="A55" s="44"/>
    </row>
    <row r="56" spans="1:1" s="54" customFormat="1">
      <c r="A56" s="44"/>
    </row>
    <row r="57" spans="1:1" s="54" customFormat="1">
      <c r="A57" s="44"/>
    </row>
    <row r="58" spans="1:1" s="54" customFormat="1">
      <c r="A58" s="44"/>
    </row>
    <row r="59" spans="1:1" s="54" customFormat="1">
      <c r="A59" s="44"/>
    </row>
    <row r="60" spans="1:1" s="54" customFormat="1">
      <c r="A60" s="44"/>
    </row>
  </sheetData>
  <mergeCells count="2">
    <mergeCell ref="A8:F8"/>
    <mergeCell ref="A9:F9"/>
  </mergeCells>
  <pageMargins left="0.2" right="0.2" top="0.5" bottom="0.5" header="0.3" footer="0.3"/>
  <pageSetup paperSize="9" scale="64" orientation="portrait" r:id="rId1"/>
</worksheet>
</file>

<file path=xl/worksheets/sheet22.xml><?xml version="1.0" encoding="utf-8"?>
<worksheet xmlns="http://schemas.openxmlformats.org/spreadsheetml/2006/main" xmlns:r="http://schemas.openxmlformats.org/officeDocument/2006/relationships">
  <sheetPr>
    <tabColor rgb="FFFF0000"/>
  </sheetPr>
  <dimension ref="A1:K59"/>
  <sheetViews>
    <sheetView view="pageBreakPreview" zoomScaleNormal="100" zoomScaleSheetLayoutView="100" workbookViewId="0">
      <selection activeCell="E23" sqref="E23"/>
    </sheetView>
  </sheetViews>
  <sheetFormatPr defaultRowHeight="15"/>
  <cols>
    <col min="1" max="2" width="3.7109375" customWidth="1"/>
    <col min="3" max="3" width="40.28515625" customWidth="1"/>
    <col min="4" max="4" width="14" customWidth="1"/>
    <col min="5" max="5" width="24.5703125" customWidth="1"/>
    <col min="6" max="6" width="11.7109375" customWidth="1"/>
    <col min="7" max="7" width="11.85546875" customWidth="1"/>
    <col min="8" max="8" width="10" customWidth="1"/>
  </cols>
  <sheetData>
    <row r="1" spans="1:11" ht="21">
      <c r="A1" s="1" t="s">
        <v>0</v>
      </c>
      <c r="B1" s="1"/>
      <c r="H1" s="2" t="s">
        <v>554</v>
      </c>
      <c r="K1" s="3"/>
    </row>
    <row r="3" spans="1:11">
      <c r="A3" s="287" t="s">
        <v>275</v>
      </c>
      <c r="B3" s="287"/>
      <c r="F3" s="85"/>
      <c r="G3" s="86" t="s">
        <v>2</v>
      </c>
      <c r="H3" s="86" t="s">
        <v>3</v>
      </c>
    </row>
    <row r="4" spans="1:11">
      <c r="A4" s="287" t="s">
        <v>4</v>
      </c>
      <c r="B4" s="287"/>
      <c r="F4" s="85" t="s">
        <v>5</v>
      </c>
      <c r="G4" s="85"/>
      <c r="H4" s="85"/>
    </row>
    <row r="5" spans="1:11">
      <c r="A5" s="287"/>
      <c r="B5" s="287"/>
      <c r="C5" s="612"/>
      <c r="D5" s="612"/>
      <c r="E5" s="612"/>
      <c r="F5" s="85" t="s">
        <v>6</v>
      </c>
      <c r="G5" s="85"/>
      <c r="H5" s="85"/>
    </row>
    <row r="6" spans="1:11">
      <c r="A6" s="287"/>
      <c r="B6" s="287"/>
      <c r="E6" s="8"/>
      <c r="F6" s="8"/>
    </row>
    <row r="7" spans="1:11">
      <c r="A7" s="287" t="s">
        <v>580</v>
      </c>
      <c r="B7" s="287"/>
    </row>
    <row r="18" spans="1:8">
      <c r="A18" s="9" t="s">
        <v>92</v>
      </c>
      <c r="B18" s="9"/>
      <c r="G18" s="2" t="s">
        <v>359</v>
      </c>
      <c r="H18" s="561" t="s">
        <v>353</v>
      </c>
    </row>
    <row r="19" spans="1:8">
      <c r="A19" s="10"/>
      <c r="B19" s="10"/>
      <c r="C19" s="11"/>
      <c r="G19" s="2"/>
    </row>
    <row r="20" spans="1:8">
      <c r="A20" s="116">
        <v>1.1000000000000001</v>
      </c>
      <c r="B20" s="162" t="s">
        <v>427</v>
      </c>
      <c r="C20" s="469"/>
      <c r="D20" s="469"/>
      <c r="E20" s="469"/>
      <c r="G20" s="123" t="s">
        <v>24</v>
      </c>
      <c r="H20" s="123" t="s">
        <v>24</v>
      </c>
    </row>
    <row r="21" spans="1:8">
      <c r="A21" s="116"/>
      <c r="B21" s="162" t="s">
        <v>428</v>
      </c>
      <c r="C21" s="469"/>
      <c r="D21" s="469"/>
      <c r="E21" s="469"/>
      <c r="G21" s="123"/>
      <c r="H21" s="123"/>
    </row>
    <row r="22" spans="1:8">
      <c r="A22" s="116"/>
      <c r="B22" s="162" t="s">
        <v>429</v>
      </c>
      <c r="C22" s="469"/>
      <c r="D22" s="469"/>
      <c r="E22" s="469"/>
      <c r="G22" s="123"/>
      <c r="H22" s="123"/>
    </row>
    <row r="23" spans="1:8">
      <c r="A23" s="116"/>
      <c r="B23" s="23" t="s">
        <v>512</v>
      </c>
      <c r="G23" s="98"/>
      <c r="H23" s="98"/>
    </row>
    <row r="24" spans="1:8" s="95" customFormat="1" ht="12.75">
      <c r="A24" s="244"/>
      <c r="B24" s="562" t="s">
        <v>415</v>
      </c>
      <c r="G24" s="123"/>
      <c r="H24" s="123"/>
    </row>
    <row r="25" spans="1:8" s="95" customFormat="1" ht="12.75">
      <c r="A25" s="244"/>
      <c r="B25" s="562"/>
      <c r="G25" s="123"/>
      <c r="H25" s="123"/>
    </row>
    <row r="26" spans="1:8">
      <c r="A26" s="116">
        <v>1.2</v>
      </c>
      <c r="B26" s="162" t="s">
        <v>581</v>
      </c>
      <c r="G26" s="123" t="s">
        <v>24</v>
      </c>
      <c r="H26" s="123" t="s">
        <v>24</v>
      </c>
    </row>
    <row r="27" spans="1:8">
      <c r="A27" s="116"/>
      <c r="B27" s="162" t="s">
        <v>511</v>
      </c>
      <c r="G27" s="98"/>
      <c r="H27" s="98"/>
    </row>
    <row r="28" spans="1:8">
      <c r="A28" s="116"/>
      <c r="B28" s="162" t="s">
        <v>642</v>
      </c>
      <c r="G28" s="98"/>
      <c r="H28" s="98"/>
    </row>
    <row r="29" spans="1:8">
      <c r="A29" s="116"/>
      <c r="B29" s="162"/>
      <c r="G29" s="98"/>
      <c r="H29" s="98"/>
    </row>
    <row r="30" spans="1:8">
      <c r="A30" s="116">
        <v>1.3</v>
      </c>
      <c r="B30" s="162" t="s">
        <v>436</v>
      </c>
      <c r="G30" s="123" t="s">
        <v>24</v>
      </c>
      <c r="H30" s="123" t="s">
        <v>24</v>
      </c>
    </row>
    <row r="31" spans="1:8">
      <c r="A31" s="116"/>
      <c r="B31" s="162" t="s">
        <v>437</v>
      </c>
      <c r="G31" s="123"/>
      <c r="H31" s="123"/>
    </row>
    <row r="32" spans="1:8">
      <c r="A32" s="12"/>
      <c r="B32" s="162" t="s">
        <v>354</v>
      </c>
      <c r="G32" s="98"/>
      <c r="H32" s="98"/>
    </row>
    <row r="33" spans="1:8">
      <c r="B33" s="21"/>
      <c r="G33" s="98"/>
      <c r="H33" s="98"/>
    </row>
    <row r="34" spans="1:8">
      <c r="A34" s="116">
        <v>1.4</v>
      </c>
      <c r="B34" s="162" t="s">
        <v>439</v>
      </c>
      <c r="G34" s="98"/>
      <c r="H34" s="98"/>
    </row>
    <row r="35" spans="1:8">
      <c r="A35" s="116"/>
      <c r="B35" s="162" t="s">
        <v>438</v>
      </c>
      <c r="G35" s="98"/>
      <c r="H35" s="98"/>
    </row>
    <row r="36" spans="1:8">
      <c r="B36" s="21"/>
      <c r="G36" s="98"/>
      <c r="H36" s="98"/>
    </row>
    <row r="37" spans="1:8">
      <c r="A37" s="116">
        <v>1.5</v>
      </c>
      <c r="B37" s="162" t="s">
        <v>435</v>
      </c>
      <c r="G37" s="123" t="s">
        <v>24</v>
      </c>
      <c r="H37" s="123" t="s">
        <v>24</v>
      </c>
    </row>
    <row r="38" spans="1:8">
      <c r="A38" s="116"/>
      <c r="B38" s="162"/>
      <c r="G38" s="123"/>
      <c r="H38" s="123"/>
    </row>
    <row r="39" spans="1:8">
      <c r="A39" s="9" t="s">
        <v>8</v>
      </c>
      <c r="B39" s="9"/>
    </row>
    <row r="40" spans="1:8">
      <c r="A40" s="12"/>
      <c r="B40" s="12"/>
    </row>
    <row r="41" spans="1:8">
      <c r="B41" s="256" t="s">
        <v>9</v>
      </c>
      <c r="C41" s="256" t="s">
        <v>10</v>
      </c>
      <c r="D41" s="256" t="s">
        <v>11</v>
      </c>
      <c r="E41" s="657" t="s">
        <v>12</v>
      </c>
      <c r="F41" s="658"/>
      <c r="G41" s="639" t="s">
        <v>13</v>
      </c>
      <c r="H41" s="640"/>
    </row>
    <row r="42" spans="1:8">
      <c r="B42" s="269"/>
      <c r="C42" s="269"/>
      <c r="D42" s="269"/>
      <c r="E42" s="330"/>
      <c r="F42" s="331"/>
      <c r="G42" s="275"/>
      <c r="H42" s="276"/>
    </row>
    <row r="43" spans="1:8" s="95" customFormat="1" ht="38.25">
      <c r="B43" s="305">
        <v>1</v>
      </c>
      <c r="C43" s="326" t="s">
        <v>430</v>
      </c>
      <c r="D43" s="327"/>
      <c r="E43" s="656" t="s">
        <v>431</v>
      </c>
      <c r="F43" s="656"/>
      <c r="G43" s="659" t="s">
        <v>81</v>
      </c>
      <c r="H43" s="659"/>
    </row>
    <row r="44" spans="1:8" s="95" customFormat="1" ht="28.5" customHeight="1">
      <c r="B44" s="305">
        <v>2</v>
      </c>
      <c r="C44" s="326" t="s">
        <v>432</v>
      </c>
      <c r="D44" s="327">
        <v>0</v>
      </c>
      <c r="E44" s="656" t="s">
        <v>433</v>
      </c>
      <c r="F44" s="656"/>
      <c r="G44" s="659" t="s">
        <v>82</v>
      </c>
      <c r="H44" s="659"/>
    </row>
    <row r="45" spans="1:8" s="95" customFormat="1" ht="38.25">
      <c r="B45" s="305">
        <v>3</v>
      </c>
      <c r="C45" s="326" t="s">
        <v>434</v>
      </c>
      <c r="D45" s="327">
        <v>0</v>
      </c>
      <c r="E45" s="656" t="s">
        <v>516</v>
      </c>
      <c r="F45" s="656"/>
      <c r="G45" s="659" t="s">
        <v>83</v>
      </c>
      <c r="H45" s="659"/>
    </row>
    <row r="46" spans="1:8" s="95" customFormat="1" ht="25.5">
      <c r="B46" s="305">
        <v>4</v>
      </c>
      <c r="C46" s="326" t="s">
        <v>97</v>
      </c>
      <c r="D46" s="327">
        <v>0</v>
      </c>
      <c r="E46" s="656" t="s">
        <v>516</v>
      </c>
      <c r="F46" s="656"/>
      <c r="G46" s="659" t="s">
        <v>84</v>
      </c>
      <c r="H46" s="659"/>
    </row>
    <row r="47" spans="1:8" s="95" customFormat="1" ht="25.5">
      <c r="B47" s="305">
        <v>5</v>
      </c>
      <c r="C47" s="326" t="s">
        <v>98</v>
      </c>
      <c r="D47" s="328">
        <v>0</v>
      </c>
      <c r="E47" s="656"/>
      <c r="F47" s="656"/>
      <c r="G47" s="659" t="s">
        <v>85</v>
      </c>
      <c r="H47" s="659"/>
    </row>
    <row r="48" spans="1:8" s="95" customFormat="1" ht="25.5">
      <c r="B48" s="564">
        <v>6</v>
      </c>
      <c r="C48" s="326" t="s">
        <v>19</v>
      </c>
      <c r="D48" s="328">
        <v>0</v>
      </c>
      <c r="E48" s="656"/>
      <c r="F48" s="656"/>
      <c r="G48" s="659" t="s">
        <v>86</v>
      </c>
      <c r="H48" s="659"/>
    </row>
    <row r="49" spans="1:8" s="95" customFormat="1" ht="42.75" customHeight="1">
      <c r="B49" s="569">
        <v>7</v>
      </c>
      <c r="C49" s="570" t="s">
        <v>509</v>
      </c>
      <c r="D49" s="571"/>
      <c r="E49" s="654" t="s">
        <v>510</v>
      </c>
      <c r="F49" s="654"/>
      <c r="G49" s="655"/>
      <c r="H49" s="655"/>
    </row>
    <row r="50" spans="1:8" s="95" customFormat="1" ht="12.75">
      <c r="B50" s="565"/>
      <c r="C50" s="566"/>
      <c r="D50" s="567"/>
      <c r="E50" s="568"/>
      <c r="F50" s="568"/>
      <c r="G50" s="565"/>
      <c r="H50" s="565"/>
    </row>
    <row r="52" spans="1:8">
      <c r="A52" s="9" t="s">
        <v>15</v>
      </c>
      <c r="B52" s="9"/>
    </row>
    <row r="53" spans="1:8">
      <c r="A53" s="95" t="s">
        <v>579</v>
      </c>
      <c r="C53" s="20"/>
    </row>
    <row r="54" spans="1:8">
      <c r="A54" s="20"/>
      <c r="B54" s="20"/>
      <c r="C54" s="20"/>
    </row>
    <row r="55" spans="1:8">
      <c r="A55" s="20"/>
      <c r="B55" s="20"/>
      <c r="C55" s="20"/>
    </row>
    <row r="56" spans="1:8">
      <c r="A56" s="20"/>
      <c r="B56" s="20"/>
      <c r="C56" s="20"/>
    </row>
    <row r="57" spans="1:8">
      <c r="A57" s="20"/>
      <c r="B57" s="20"/>
      <c r="C57" s="20"/>
    </row>
    <row r="58" spans="1:8">
      <c r="A58" s="20"/>
      <c r="B58" s="20"/>
      <c r="C58" s="20"/>
    </row>
    <row r="59" spans="1:8">
      <c r="A59" s="20"/>
      <c r="B59" s="20"/>
      <c r="C59" s="20"/>
    </row>
  </sheetData>
  <mergeCells count="16">
    <mergeCell ref="E49:F49"/>
    <mergeCell ref="G49:H49"/>
    <mergeCell ref="E48:F48"/>
    <mergeCell ref="E41:F41"/>
    <mergeCell ref="E43:F43"/>
    <mergeCell ref="E44:F44"/>
    <mergeCell ref="E45:F45"/>
    <mergeCell ref="E46:F46"/>
    <mergeCell ref="E47:F47"/>
    <mergeCell ref="G47:H47"/>
    <mergeCell ref="G44:H44"/>
    <mergeCell ref="G45:H45"/>
    <mergeCell ref="G48:H48"/>
    <mergeCell ref="G41:H41"/>
    <mergeCell ref="G43:H43"/>
    <mergeCell ref="G46:H46"/>
  </mergeCells>
  <printOptions horizontalCentered="1"/>
  <pageMargins left="0.2" right="0.2" top="0.5" bottom="0.5" header="0.3" footer="0.3"/>
  <pageSetup paperSize="9" scale="78" orientation="portrait" r:id="rId1"/>
  <drawing r:id="rId2"/>
</worksheet>
</file>

<file path=xl/worksheets/sheet23.xml><?xml version="1.0" encoding="utf-8"?>
<worksheet xmlns="http://schemas.openxmlformats.org/spreadsheetml/2006/main" xmlns:r="http://schemas.openxmlformats.org/officeDocument/2006/relationships">
  <dimension ref="A1:I42"/>
  <sheetViews>
    <sheetView view="pageBreakPreview" zoomScaleNormal="100" zoomScaleSheetLayoutView="100" workbookViewId="0">
      <selection activeCell="A7" sqref="A7"/>
    </sheetView>
  </sheetViews>
  <sheetFormatPr defaultColWidth="29.5703125" defaultRowHeight="15"/>
  <cols>
    <col min="1" max="2" width="3.7109375" customWidth="1"/>
    <col min="3" max="3" width="76.5703125" customWidth="1"/>
    <col min="4" max="4" width="12.28515625" customWidth="1"/>
    <col min="5" max="5" width="12.140625" customWidth="1"/>
    <col min="6" max="6" width="11.5703125" customWidth="1"/>
    <col min="7" max="254" width="9.140625" customWidth="1"/>
    <col min="255" max="255" width="5.42578125" customWidth="1"/>
  </cols>
  <sheetData>
    <row r="1" spans="1:9" ht="21">
      <c r="A1" s="1" t="s">
        <v>0</v>
      </c>
      <c r="B1" s="1"/>
      <c r="F1" s="2" t="s">
        <v>643</v>
      </c>
      <c r="I1" s="3"/>
    </row>
    <row r="3" spans="1:9" ht="15.75">
      <c r="A3" s="287" t="s">
        <v>275</v>
      </c>
      <c r="B3" s="4"/>
      <c r="D3" s="85"/>
      <c r="E3" s="86" t="s">
        <v>2</v>
      </c>
      <c r="F3" s="86" t="s">
        <v>3</v>
      </c>
    </row>
    <row r="4" spans="1:9" ht="15.75">
      <c r="A4" s="287" t="s">
        <v>4</v>
      </c>
      <c r="B4" s="4"/>
      <c r="D4" s="85" t="s">
        <v>5</v>
      </c>
      <c r="E4" s="85"/>
      <c r="F4" s="85"/>
    </row>
    <row r="5" spans="1:9">
      <c r="A5" s="287"/>
      <c r="B5" s="7"/>
      <c r="D5" s="85" t="s">
        <v>6</v>
      </c>
      <c r="E5" s="85"/>
      <c r="F5" s="85"/>
    </row>
    <row r="6" spans="1:9">
      <c r="A6" s="287"/>
      <c r="B6" s="7"/>
      <c r="D6" s="8"/>
    </row>
    <row r="7" spans="1:9" ht="15.75">
      <c r="A7" s="287" t="s">
        <v>582</v>
      </c>
      <c r="B7" s="4"/>
    </row>
    <row r="17" spans="1:6">
      <c r="A17" s="9" t="s">
        <v>92</v>
      </c>
      <c r="B17" s="9"/>
      <c r="E17" s="2" t="s">
        <v>359</v>
      </c>
      <c r="F17" s="561" t="s">
        <v>353</v>
      </c>
    </row>
    <row r="18" spans="1:6">
      <c r="A18" s="10"/>
      <c r="B18" s="10"/>
    </row>
    <row r="19" spans="1:6">
      <c r="A19" s="116">
        <v>1.1000000000000001</v>
      </c>
      <c r="B19" s="171" t="s">
        <v>440</v>
      </c>
      <c r="D19" s="170"/>
      <c r="E19" s="123" t="s">
        <v>24</v>
      </c>
      <c r="F19" s="123" t="s">
        <v>24</v>
      </c>
    </row>
    <row r="20" spans="1:6">
      <c r="A20" s="116"/>
      <c r="B20" s="171" t="s">
        <v>442</v>
      </c>
      <c r="D20" s="170"/>
      <c r="E20" s="123"/>
      <c r="F20" s="123"/>
    </row>
    <row r="21" spans="1:6">
      <c r="A21" s="116"/>
      <c r="B21" s="171" t="s">
        <v>443</v>
      </c>
      <c r="D21" s="170"/>
      <c r="E21" s="123"/>
      <c r="F21" s="123"/>
    </row>
    <row r="22" spans="1:6">
      <c r="A22" s="116"/>
      <c r="B22" s="171" t="s">
        <v>111</v>
      </c>
      <c r="D22" s="170"/>
      <c r="E22" s="123"/>
      <c r="F22" s="123"/>
    </row>
    <row r="23" spans="1:6">
      <c r="A23" s="116"/>
      <c r="B23" s="171"/>
      <c r="D23" s="170"/>
      <c r="E23" s="123"/>
      <c r="F23" s="123"/>
    </row>
    <row r="24" spans="1:6" s="598" customFormat="1">
      <c r="A24" s="591">
        <v>1.2</v>
      </c>
      <c r="B24" s="592" t="s">
        <v>521</v>
      </c>
      <c r="D24" s="609"/>
      <c r="E24" s="600" t="s">
        <v>24</v>
      </c>
      <c r="F24" s="600" t="s">
        <v>24</v>
      </c>
    </row>
    <row r="25" spans="1:6" s="598" customFormat="1">
      <c r="A25" s="591"/>
      <c r="B25" s="592" t="s">
        <v>522</v>
      </c>
      <c r="D25" s="609"/>
      <c r="E25" s="600"/>
      <c r="F25" s="600"/>
    </row>
    <row r="26" spans="1:6" s="598" customFormat="1">
      <c r="A26" s="591"/>
      <c r="B26" s="592" t="s">
        <v>519</v>
      </c>
      <c r="D26" s="609"/>
      <c r="E26" s="600"/>
      <c r="F26" s="600"/>
    </row>
    <row r="27" spans="1:6">
      <c r="A27" s="116"/>
      <c r="B27" s="171"/>
      <c r="D27" s="170"/>
      <c r="E27" s="123"/>
      <c r="F27" s="123"/>
    </row>
    <row r="28" spans="1:6">
      <c r="F28" s="98"/>
    </row>
    <row r="29" spans="1:6">
      <c r="A29" s="9" t="s">
        <v>8</v>
      </c>
      <c r="B29" s="9"/>
      <c r="F29" s="98"/>
    </row>
    <row r="30" spans="1:6">
      <c r="A30" s="12"/>
      <c r="B30" s="12"/>
      <c r="F30" s="98"/>
    </row>
    <row r="31" spans="1:6">
      <c r="B31" s="280" t="s">
        <v>9</v>
      </c>
      <c r="C31" s="280" t="s">
        <v>10</v>
      </c>
      <c r="D31" s="280" t="s">
        <v>11</v>
      </c>
      <c r="E31" s="300" t="s">
        <v>12</v>
      </c>
      <c r="F31" s="281" t="s">
        <v>13</v>
      </c>
    </row>
    <row r="32" spans="1:6">
      <c r="B32" s="286"/>
      <c r="C32" s="286"/>
      <c r="D32" s="286"/>
      <c r="E32" s="304"/>
      <c r="F32" s="286"/>
    </row>
    <row r="33" spans="1:6" ht="25.5">
      <c r="B33" s="559">
        <v>1</v>
      </c>
      <c r="C33" s="594" t="s">
        <v>441</v>
      </c>
      <c r="D33" s="327">
        <v>0</v>
      </c>
      <c r="E33" s="333"/>
      <c r="F33" s="333"/>
    </row>
    <row r="34" spans="1:6" ht="32.25" customHeight="1">
      <c r="B34" s="589">
        <v>2</v>
      </c>
      <c r="C34" s="593" t="s">
        <v>520</v>
      </c>
      <c r="D34" s="327">
        <v>0</v>
      </c>
      <c r="E34" s="590"/>
      <c r="F34" s="590"/>
    </row>
    <row r="35" spans="1:6">
      <c r="B35" s="334"/>
      <c r="C35" s="335"/>
      <c r="D35" s="329"/>
      <c r="E35" s="336"/>
      <c r="F35" s="336"/>
    </row>
    <row r="36" spans="1:6">
      <c r="B36" s="324"/>
      <c r="C36" s="301" t="s">
        <v>14</v>
      </c>
      <c r="D36" s="302">
        <f>SUM(D33:D34)</f>
        <v>0</v>
      </c>
      <c r="E36" s="265"/>
      <c r="F36" s="283"/>
    </row>
    <row r="38" spans="1:6">
      <c r="A38" s="9" t="s">
        <v>15</v>
      </c>
      <c r="B38" s="9"/>
    </row>
    <row r="39" spans="1:6">
      <c r="A39" s="95" t="s">
        <v>579</v>
      </c>
    </row>
    <row r="40" spans="1:6">
      <c r="A40" s="21"/>
      <c r="B40" s="21"/>
      <c r="C40" s="20"/>
    </row>
    <row r="41" spans="1:6">
      <c r="A41" s="21"/>
      <c r="B41" s="21"/>
      <c r="C41" s="20"/>
    </row>
    <row r="42" spans="1:6">
      <c r="A42" s="20"/>
      <c r="B42" s="20"/>
      <c r="C42" s="20"/>
    </row>
  </sheetData>
  <printOptions horizontalCentered="1"/>
  <pageMargins left="0.2" right="0.2" top="0.5" bottom="0.5" header="0.3" footer="0.3"/>
  <pageSetup paperSize="9" scale="82" orientation="portrait" r:id="rId1"/>
  <drawing r:id="rId2"/>
</worksheet>
</file>

<file path=xl/worksheets/sheet24.xml><?xml version="1.0" encoding="utf-8"?>
<worksheet xmlns="http://schemas.openxmlformats.org/spreadsheetml/2006/main" xmlns:r="http://schemas.openxmlformats.org/officeDocument/2006/relationships">
  <dimension ref="A1:I56"/>
  <sheetViews>
    <sheetView view="pageBreakPreview" zoomScaleNormal="100" zoomScaleSheetLayoutView="100" workbookViewId="0">
      <selection activeCell="A7" sqref="A7"/>
    </sheetView>
  </sheetViews>
  <sheetFormatPr defaultRowHeight="15"/>
  <cols>
    <col min="1" max="2" width="3.7109375" customWidth="1"/>
    <col min="3" max="3" width="71.42578125" customWidth="1"/>
    <col min="4" max="4" width="14" customWidth="1"/>
    <col min="5" max="5" width="12.140625" customWidth="1"/>
    <col min="6" max="6" width="11.5703125" customWidth="1"/>
  </cols>
  <sheetData>
    <row r="1" spans="1:9" ht="21">
      <c r="A1" s="1" t="s">
        <v>0</v>
      </c>
      <c r="B1" s="1"/>
      <c r="F1" s="2" t="s">
        <v>554</v>
      </c>
      <c r="I1" s="3"/>
    </row>
    <row r="3" spans="1:9" ht="15.75">
      <c r="A3" s="4" t="s">
        <v>275</v>
      </c>
      <c r="B3" s="4"/>
      <c r="D3" s="85"/>
      <c r="E3" s="86" t="s">
        <v>2</v>
      </c>
      <c r="F3" s="86" t="s">
        <v>3</v>
      </c>
    </row>
    <row r="4" spans="1:9" ht="15.75">
      <c r="A4" s="4" t="s">
        <v>4</v>
      </c>
      <c r="B4" s="4"/>
      <c r="D4" s="85" t="s">
        <v>5</v>
      </c>
      <c r="E4" s="85"/>
      <c r="F4" s="85"/>
    </row>
    <row r="5" spans="1:9">
      <c r="A5" s="7"/>
      <c r="B5" s="7"/>
      <c r="D5" s="85" t="s">
        <v>6</v>
      </c>
      <c r="E5" s="85"/>
      <c r="F5" s="85"/>
    </row>
    <row r="6" spans="1:9">
      <c r="A6" s="7"/>
      <c r="B6" s="7"/>
      <c r="D6" s="8"/>
    </row>
    <row r="7" spans="1:9" ht="15.75">
      <c r="A7" s="4" t="s">
        <v>583</v>
      </c>
      <c r="B7" s="4"/>
    </row>
    <row r="8" spans="1:9" ht="15.75">
      <c r="A8" s="4"/>
      <c r="B8" s="4"/>
    </row>
    <row r="9" spans="1:9" ht="15.75">
      <c r="A9" s="4"/>
      <c r="B9" s="4"/>
    </row>
    <row r="10" spans="1:9" ht="15.75">
      <c r="A10" s="4"/>
      <c r="B10" s="4"/>
    </row>
    <row r="11" spans="1:9" ht="15.75">
      <c r="A11" s="4"/>
      <c r="B11" s="4"/>
    </row>
    <row r="12" spans="1:9" ht="15.75">
      <c r="A12" s="4"/>
      <c r="B12" s="4"/>
    </row>
    <row r="13" spans="1:9" ht="15.75">
      <c r="A13" s="4"/>
      <c r="B13" s="4"/>
    </row>
    <row r="14" spans="1:9" ht="15.75">
      <c r="A14" s="4"/>
      <c r="B14" s="4"/>
    </row>
    <row r="15" spans="1:9" ht="15.75">
      <c r="A15" s="4"/>
      <c r="B15" s="4"/>
    </row>
    <row r="16" spans="1:9" ht="15.75">
      <c r="A16" s="4"/>
      <c r="B16" s="4"/>
    </row>
    <row r="17" spans="1:6" ht="15.75">
      <c r="A17" s="4"/>
      <c r="B17" s="4"/>
    </row>
    <row r="25" spans="1:6">
      <c r="A25" s="9" t="s">
        <v>92</v>
      </c>
      <c r="B25" s="9"/>
      <c r="E25" s="2" t="s">
        <v>359</v>
      </c>
      <c r="F25" s="561" t="s">
        <v>353</v>
      </c>
    </row>
    <row r="26" spans="1:6">
      <c r="A26" s="29"/>
      <c r="B26" s="29"/>
      <c r="C26" s="21"/>
    </row>
    <row r="27" spans="1:6" s="98" customFormat="1">
      <c r="A27" s="116">
        <v>1.1000000000000001</v>
      </c>
      <c r="B27" s="171" t="s">
        <v>446</v>
      </c>
      <c r="E27" s="123" t="s">
        <v>24</v>
      </c>
      <c r="F27" s="123" t="s">
        <v>24</v>
      </c>
    </row>
    <row r="28" spans="1:6" s="98" customFormat="1">
      <c r="A28" s="116"/>
      <c r="B28" s="171" t="s">
        <v>444</v>
      </c>
      <c r="E28" s="123"/>
      <c r="F28" s="123"/>
    </row>
    <row r="29" spans="1:6" s="98" customFormat="1">
      <c r="A29" s="116"/>
      <c r="B29" s="171" t="s">
        <v>445</v>
      </c>
      <c r="E29" s="123"/>
      <c r="F29" s="123"/>
    </row>
    <row r="30" spans="1:6" s="98" customFormat="1">
      <c r="A30" s="116"/>
      <c r="B30" s="562" t="s">
        <v>415</v>
      </c>
      <c r="E30" s="123"/>
      <c r="F30" s="123"/>
    </row>
    <row r="31" spans="1:6">
      <c r="A31" s="29"/>
      <c r="B31" s="36"/>
      <c r="E31" s="98"/>
      <c r="F31" s="98"/>
    </row>
    <row r="32" spans="1:6">
      <c r="A32" s="116">
        <v>1.2</v>
      </c>
      <c r="B32" s="171" t="s">
        <v>276</v>
      </c>
      <c r="E32" s="98"/>
      <c r="F32" s="98"/>
    </row>
    <row r="33" spans="1:6">
      <c r="A33" s="29"/>
      <c r="B33" s="171" t="s">
        <v>99</v>
      </c>
      <c r="E33" s="98"/>
      <c r="F33" s="98"/>
    </row>
    <row r="34" spans="1:6">
      <c r="A34" s="29"/>
      <c r="B34" s="562" t="s">
        <v>415</v>
      </c>
      <c r="E34" s="98"/>
      <c r="F34" s="98"/>
    </row>
    <row r="35" spans="1:6">
      <c r="A35" s="29"/>
      <c r="B35" s="562"/>
      <c r="E35" s="98"/>
      <c r="F35" s="98"/>
    </row>
    <row r="36" spans="1:6">
      <c r="A36" s="116">
        <v>1.3</v>
      </c>
      <c r="B36" s="162" t="s">
        <v>277</v>
      </c>
      <c r="E36" s="123" t="s">
        <v>24</v>
      </c>
      <c r="F36" s="123" t="s">
        <v>24</v>
      </c>
    </row>
    <row r="37" spans="1:6">
      <c r="A37" s="29"/>
      <c r="B37" s="162" t="s">
        <v>278</v>
      </c>
    </row>
    <row r="38" spans="1:6">
      <c r="A38" s="29"/>
      <c r="B38" s="162" t="s">
        <v>447</v>
      </c>
      <c r="F38" s="123"/>
    </row>
    <row r="39" spans="1:6">
      <c r="A39" s="29"/>
      <c r="B39" s="29"/>
      <c r="C39" s="21"/>
      <c r="D39" s="35"/>
      <c r="F39" s="98"/>
    </row>
    <row r="40" spans="1:6">
      <c r="A40" s="9" t="s">
        <v>8</v>
      </c>
      <c r="B40" s="9"/>
    </row>
    <row r="41" spans="1:6">
      <c r="A41" s="12"/>
      <c r="B41" s="12"/>
    </row>
    <row r="42" spans="1:6">
      <c r="B42" s="256" t="s">
        <v>9</v>
      </c>
      <c r="C42" s="256" t="s">
        <v>10</v>
      </c>
      <c r="D42" s="256" t="s">
        <v>11</v>
      </c>
      <c r="E42" s="337" t="s">
        <v>12</v>
      </c>
      <c r="F42" s="257" t="s">
        <v>13</v>
      </c>
    </row>
    <row r="43" spans="1:6">
      <c r="B43" s="269"/>
      <c r="C43" s="269"/>
      <c r="D43" s="269"/>
      <c r="E43" s="325"/>
      <c r="F43" s="269"/>
    </row>
    <row r="44" spans="1:6" s="95" customFormat="1" ht="12.75">
      <c r="B44" s="305">
        <v>1</v>
      </c>
      <c r="C44" s="309" t="s">
        <v>26</v>
      </c>
      <c r="D44" s="332">
        <v>0</v>
      </c>
      <c r="E44" s="290"/>
      <c r="F44" s="290"/>
    </row>
    <row r="45" spans="1:6" s="95" customFormat="1" ht="12.75">
      <c r="B45" s="271"/>
      <c r="C45" s="312"/>
      <c r="D45" s="329"/>
      <c r="E45" s="273"/>
      <c r="F45" s="273"/>
    </row>
    <row r="46" spans="1:6">
      <c r="B46" s="324"/>
      <c r="C46" s="301" t="s">
        <v>14</v>
      </c>
      <c r="D46" s="302">
        <f>SUM(D44)</f>
        <v>0</v>
      </c>
      <c r="E46" s="265"/>
      <c r="F46" s="283"/>
    </row>
    <row r="48" spans="1:6">
      <c r="A48" s="9" t="s">
        <v>15</v>
      </c>
      <c r="B48" s="9"/>
    </row>
    <row r="49" spans="1:3">
      <c r="A49" s="171" t="s">
        <v>579</v>
      </c>
    </row>
    <row r="50" spans="1:3">
      <c r="A50" s="20"/>
      <c r="B50" s="20"/>
      <c r="C50" s="20"/>
    </row>
    <row r="51" spans="1:3">
      <c r="A51" s="20"/>
      <c r="B51" s="20"/>
      <c r="C51" s="20"/>
    </row>
    <row r="52" spans="1:3">
      <c r="A52" s="20"/>
      <c r="B52" s="20"/>
      <c r="C52" s="20"/>
    </row>
    <row r="53" spans="1:3">
      <c r="A53" s="20"/>
      <c r="B53" s="20"/>
      <c r="C53" s="20"/>
    </row>
    <row r="54" spans="1:3">
      <c r="A54" s="20"/>
      <c r="B54" s="20"/>
      <c r="C54" s="20"/>
    </row>
    <row r="55" spans="1:3">
      <c r="A55" s="20"/>
      <c r="B55" s="20"/>
      <c r="C55" s="20"/>
    </row>
    <row r="56" spans="1:3">
      <c r="A56" s="20"/>
      <c r="B56" s="20"/>
      <c r="C56" s="20"/>
    </row>
  </sheetData>
  <printOptions horizontalCentered="1"/>
  <pageMargins left="0.25" right="0.25" top="0.5" bottom="0.5" header="0.3" footer="0.3"/>
  <pageSetup paperSize="9" scale="83" orientation="portrait" r:id="rId1"/>
  <drawing r:id="rId2"/>
</worksheet>
</file>

<file path=xl/worksheets/sheet25.xml><?xml version="1.0" encoding="utf-8"?>
<worksheet xmlns="http://schemas.openxmlformats.org/spreadsheetml/2006/main" xmlns:r="http://schemas.openxmlformats.org/officeDocument/2006/relationships">
  <dimension ref="A1:AJ46"/>
  <sheetViews>
    <sheetView view="pageBreakPreview" zoomScaleNormal="100" zoomScaleSheetLayoutView="100" workbookViewId="0">
      <selection activeCell="G3" sqref="G3"/>
    </sheetView>
  </sheetViews>
  <sheetFormatPr defaultRowHeight="15"/>
  <cols>
    <col min="1" max="1" width="6.5703125" customWidth="1"/>
    <col min="2" max="2" width="70.28515625" customWidth="1"/>
    <col min="3" max="3" width="19.140625" customWidth="1"/>
    <col min="4" max="4" width="12.28515625" customWidth="1"/>
    <col min="5" max="5" width="13.85546875" customWidth="1"/>
    <col min="6" max="6" width="18.85546875" customWidth="1"/>
  </cols>
  <sheetData>
    <row r="1" spans="1:36" ht="21">
      <c r="A1" s="1" t="s">
        <v>0</v>
      </c>
      <c r="D1" s="2"/>
      <c r="F1" s="2" t="s">
        <v>584</v>
      </c>
    </row>
    <row r="2" spans="1:36">
      <c r="A2" s="338"/>
      <c r="B2" s="338"/>
      <c r="C2" s="338"/>
      <c r="D2" s="338"/>
      <c r="E2" s="338"/>
      <c r="F2" s="338"/>
    </row>
    <row r="3" spans="1:36">
      <c r="A3" s="339" t="s">
        <v>290</v>
      </c>
      <c r="B3" s="338"/>
      <c r="C3" s="338"/>
      <c r="D3" s="340"/>
      <c r="E3" s="341" t="s">
        <v>2</v>
      </c>
      <c r="F3" s="341" t="s">
        <v>3</v>
      </c>
      <c r="H3" s="338"/>
      <c r="I3" s="338"/>
      <c r="J3" s="338"/>
      <c r="K3" s="338"/>
    </row>
    <row r="4" spans="1:36">
      <c r="A4" s="339" t="s">
        <v>4</v>
      </c>
      <c r="B4" s="338"/>
      <c r="C4" s="338"/>
      <c r="D4" s="340" t="s">
        <v>5</v>
      </c>
      <c r="E4" s="342"/>
      <c r="F4" s="343"/>
      <c r="H4" s="338"/>
      <c r="I4" s="338"/>
      <c r="J4" s="338"/>
      <c r="K4" s="338"/>
    </row>
    <row r="5" spans="1:36">
      <c r="A5" s="7"/>
      <c r="B5" s="338"/>
      <c r="C5" s="338"/>
      <c r="D5" s="340" t="s">
        <v>6</v>
      </c>
      <c r="E5" s="342"/>
      <c r="F5" s="343"/>
      <c r="H5" s="338"/>
      <c r="I5" s="338"/>
      <c r="J5" s="338"/>
      <c r="K5" s="338"/>
    </row>
    <row r="6" spans="1:36">
      <c r="A6" s="7"/>
      <c r="B6" s="338"/>
      <c r="C6" s="344"/>
      <c r="D6" s="344"/>
      <c r="E6" s="344"/>
      <c r="F6" s="344"/>
    </row>
    <row r="7" spans="1:36" ht="15.75">
      <c r="A7" s="660" t="s">
        <v>101</v>
      </c>
      <c r="B7" s="660"/>
      <c r="C7" s="660"/>
      <c r="D7" s="660"/>
      <c r="E7" s="660"/>
      <c r="F7" s="660"/>
    </row>
    <row r="8" spans="1:36">
      <c r="A8" s="2"/>
      <c r="B8" s="2"/>
      <c r="C8" s="2"/>
      <c r="D8" s="2"/>
      <c r="E8" s="2"/>
      <c r="F8" s="338"/>
    </row>
    <row r="9" spans="1:36">
      <c r="A9" s="177" t="s">
        <v>27</v>
      </c>
      <c r="B9" s="177"/>
      <c r="C9" s="177" t="s">
        <v>28</v>
      </c>
      <c r="D9" s="177" t="s">
        <v>29</v>
      </c>
      <c r="E9" s="177" t="s">
        <v>12</v>
      </c>
      <c r="F9" s="338"/>
    </row>
    <row r="10" spans="1:36">
      <c r="A10" s="37" t="s">
        <v>24</v>
      </c>
      <c r="B10" s="345" t="s">
        <v>30</v>
      </c>
      <c r="C10" s="346">
        <v>0.15</v>
      </c>
      <c r="D10" s="171" t="s">
        <v>31</v>
      </c>
      <c r="E10" s="171" t="s">
        <v>32</v>
      </c>
      <c r="F10" s="171"/>
    </row>
    <row r="11" spans="1:36">
      <c r="A11" s="37" t="s">
        <v>24</v>
      </c>
      <c r="B11" s="345" t="s">
        <v>33</v>
      </c>
      <c r="C11" s="346">
        <v>0.1</v>
      </c>
      <c r="D11" s="171" t="s">
        <v>31</v>
      </c>
      <c r="E11" s="171" t="s">
        <v>32</v>
      </c>
      <c r="F11" s="171"/>
    </row>
    <row r="12" spans="1:36">
      <c r="A12" s="2"/>
      <c r="B12" s="2"/>
      <c r="C12" s="2"/>
      <c r="D12" s="2"/>
      <c r="E12" s="2"/>
      <c r="F12" s="338"/>
    </row>
    <row r="13" spans="1:36" s="38" customFormat="1">
      <c r="A13" s="661" t="s">
        <v>9</v>
      </c>
      <c r="B13" s="661" t="s">
        <v>18</v>
      </c>
      <c r="C13" s="661" t="s">
        <v>11</v>
      </c>
      <c r="D13" s="661"/>
      <c r="E13" s="662" t="s">
        <v>12</v>
      </c>
      <c r="F13" s="661" t="s">
        <v>13</v>
      </c>
      <c r="G13"/>
      <c r="H13"/>
      <c r="I13"/>
      <c r="J13"/>
      <c r="K13"/>
      <c r="L13"/>
      <c r="M13"/>
      <c r="N13"/>
      <c r="O13"/>
      <c r="P13"/>
      <c r="Q13"/>
      <c r="R13"/>
      <c r="S13"/>
      <c r="T13"/>
      <c r="U13"/>
      <c r="V13"/>
      <c r="W13"/>
      <c r="X13"/>
      <c r="Y13"/>
      <c r="Z13"/>
      <c r="AA13"/>
      <c r="AB13"/>
      <c r="AC13"/>
      <c r="AD13"/>
      <c r="AE13"/>
      <c r="AF13"/>
      <c r="AG13"/>
      <c r="AH13"/>
      <c r="AI13"/>
      <c r="AJ13"/>
    </row>
    <row r="14" spans="1:36" s="347" customFormat="1">
      <c r="A14" s="661"/>
      <c r="B14" s="661"/>
      <c r="C14" s="280" t="s">
        <v>34</v>
      </c>
      <c r="D14" s="280" t="s">
        <v>35</v>
      </c>
      <c r="E14" s="661"/>
      <c r="F14" s="661"/>
      <c r="G14"/>
      <c r="H14"/>
      <c r="I14"/>
      <c r="J14"/>
      <c r="K14"/>
      <c r="L14"/>
      <c r="M14"/>
      <c r="N14"/>
      <c r="O14"/>
      <c r="P14"/>
      <c r="Q14"/>
      <c r="R14"/>
      <c r="S14"/>
      <c r="T14"/>
      <c r="U14"/>
      <c r="V14"/>
      <c r="W14"/>
      <c r="X14"/>
      <c r="Y14"/>
      <c r="Z14"/>
      <c r="AA14"/>
      <c r="AB14"/>
      <c r="AC14"/>
      <c r="AD14"/>
      <c r="AE14"/>
      <c r="AF14"/>
      <c r="AG14"/>
      <c r="AH14"/>
      <c r="AI14"/>
      <c r="AJ14"/>
    </row>
    <row r="15" spans="1:36" s="347" customFormat="1">
      <c r="A15" s="40" t="s">
        <v>36</v>
      </c>
      <c r="B15" s="41" t="s">
        <v>102</v>
      </c>
      <c r="C15" s="348">
        <f>SUM(C16:C20)</f>
        <v>0</v>
      </c>
      <c r="D15" s="349">
        <f>SUM(D16:D20)</f>
        <v>0</v>
      </c>
      <c r="E15" s="350" t="s">
        <v>37</v>
      </c>
      <c r="F15" s="351" t="s">
        <v>38</v>
      </c>
      <c r="G15"/>
      <c r="H15"/>
      <c r="I15"/>
      <c r="J15"/>
      <c r="K15"/>
      <c r="L15"/>
      <c r="M15"/>
      <c r="N15"/>
      <c r="O15"/>
      <c r="P15"/>
      <c r="Q15"/>
      <c r="R15"/>
      <c r="S15"/>
      <c r="T15"/>
      <c r="U15"/>
      <c r="V15"/>
      <c r="W15"/>
      <c r="X15"/>
      <c r="Y15"/>
      <c r="Z15"/>
      <c r="AA15"/>
      <c r="AB15"/>
      <c r="AC15"/>
      <c r="AD15"/>
      <c r="AE15"/>
      <c r="AF15"/>
      <c r="AG15"/>
      <c r="AH15"/>
      <c r="AI15"/>
      <c r="AJ15"/>
    </row>
    <row r="16" spans="1:36" s="347" customFormat="1">
      <c r="A16" s="352">
        <v>1</v>
      </c>
      <c r="B16" s="353" t="s">
        <v>39</v>
      </c>
      <c r="C16" s="354">
        <v>0</v>
      </c>
      <c r="D16" s="355"/>
      <c r="E16" s="356" t="s">
        <v>37</v>
      </c>
      <c r="F16" s="355"/>
      <c r="G16"/>
      <c r="H16"/>
      <c r="I16"/>
      <c r="J16"/>
      <c r="K16"/>
      <c r="L16"/>
      <c r="M16"/>
      <c r="N16"/>
      <c r="O16"/>
      <c r="P16"/>
      <c r="Q16"/>
      <c r="R16"/>
      <c r="S16"/>
      <c r="T16"/>
      <c r="U16"/>
      <c r="V16"/>
      <c r="W16"/>
      <c r="X16"/>
      <c r="Y16"/>
      <c r="Z16"/>
      <c r="AA16"/>
      <c r="AB16"/>
      <c r="AC16"/>
      <c r="AD16"/>
      <c r="AE16"/>
      <c r="AF16"/>
      <c r="AG16"/>
      <c r="AH16"/>
      <c r="AI16"/>
      <c r="AJ16"/>
    </row>
    <row r="17" spans="1:36" s="347" customFormat="1">
      <c r="A17" s="357">
        <v>2</v>
      </c>
      <c r="B17" s="358" t="s">
        <v>40</v>
      </c>
      <c r="C17" s="359">
        <v>0</v>
      </c>
      <c r="D17" s="360"/>
      <c r="E17" s="361" t="s">
        <v>37</v>
      </c>
      <c r="F17" s="360"/>
      <c r="G17"/>
      <c r="H17"/>
      <c r="I17"/>
      <c r="J17"/>
      <c r="K17"/>
      <c r="L17"/>
      <c r="M17"/>
      <c r="N17"/>
      <c r="O17"/>
      <c r="P17"/>
      <c r="Q17"/>
      <c r="R17"/>
      <c r="S17"/>
      <c r="T17"/>
      <c r="U17"/>
      <c r="V17"/>
      <c r="W17"/>
      <c r="X17"/>
      <c r="Y17"/>
      <c r="Z17"/>
      <c r="AA17"/>
      <c r="AB17"/>
      <c r="AC17"/>
      <c r="AD17"/>
      <c r="AE17"/>
      <c r="AF17"/>
      <c r="AG17"/>
      <c r="AH17"/>
      <c r="AI17"/>
      <c r="AJ17"/>
    </row>
    <row r="18" spans="1:36" s="347" customFormat="1">
      <c r="A18" s="357">
        <v>3</v>
      </c>
      <c r="B18" s="358" t="s">
        <v>41</v>
      </c>
      <c r="C18" s="359">
        <v>0</v>
      </c>
      <c r="D18" s="360"/>
      <c r="E18" s="361" t="s">
        <v>37</v>
      </c>
      <c r="F18" s="360"/>
      <c r="G18"/>
      <c r="H18"/>
      <c r="I18"/>
      <c r="J18"/>
      <c r="K18"/>
      <c r="L18"/>
      <c r="M18"/>
      <c r="N18"/>
      <c r="O18"/>
      <c r="P18"/>
      <c r="Q18"/>
      <c r="R18"/>
      <c r="S18"/>
      <c r="T18"/>
      <c r="U18"/>
      <c r="V18"/>
      <c r="W18"/>
      <c r="X18"/>
      <c r="Y18"/>
      <c r="Z18"/>
      <c r="AA18"/>
      <c r="AB18"/>
      <c r="AC18"/>
      <c r="AD18"/>
      <c r="AE18"/>
      <c r="AF18"/>
      <c r="AG18"/>
      <c r="AH18"/>
      <c r="AI18"/>
      <c r="AJ18"/>
    </row>
    <row r="19" spans="1:36" s="347" customFormat="1">
      <c r="A19" s="357">
        <v>4</v>
      </c>
      <c r="B19" s="358" t="s">
        <v>42</v>
      </c>
      <c r="C19" s="359">
        <v>0</v>
      </c>
      <c r="D19" s="360"/>
      <c r="E19" s="361" t="s">
        <v>37</v>
      </c>
      <c r="F19" s="360"/>
      <c r="G19"/>
      <c r="H19"/>
      <c r="I19"/>
      <c r="J19"/>
      <c r="K19"/>
      <c r="L19"/>
      <c r="M19"/>
      <c r="N19"/>
      <c r="O19"/>
      <c r="P19"/>
      <c r="Q19"/>
      <c r="R19"/>
      <c r="S19"/>
      <c r="T19"/>
      <c r="U19"/>
      <c r="V19"/>
      <c r="W19"/>
      <c r="X19"/>
      <c r="Y19"/>
      <c r="Z19"/>
      <c r="AA19"/>
      <c r="AB19"/>
      <c r="AC19"/>
      <c r="AD19"/>
      <c r="AE19"/>
      <c r="AF19"/>
      <c r="AG19"/>
      <c r="AH19"/>
      <c r="AI19"/>
      <c r="AJ19"/>
    </row>
    <row r="20" spans="1:36" s="347" customFormat="1">
      <c r="A20" s="362">
        <v>5</v>
      </c>
      <c r="B20" s="172" t="s">
        <v>43</v>
      </c>
      <c r="C20" s="363">
        <v>0</v>
      </c>
      <c r="D20" s="364"/>
      <c r="E20" s="365" t="s">
        <v>37</v>
      </c>
      <c r="F20" s="364"/>
      <c r="G20"/>
      <c r="H20"/>
      <c r="I20"/>
      <c r="J20"/>
      <c r="K20"/>
      <c r="L20"/>
      <c r="M20"/>
      <c r="N20"/>
      <c r="O20"/>
      <c r="P20"/>
      <c r="Q20"/>
      <c r="R20"/>
      <c r="S20"/>
      <c r="T20"/>
      <c r="U20"/>
      <c r="V20"/>
      <c r="W20"/>
      <c r="X20"/>
      <c r="Y20"/>
      <c r="Z20"/>
      <c r="AA20"/>
      <c r="AB20"/>
      <c r="AC20"/>
      <c r="AD20"/>
      <c r="AE20"/>
      <c r="AF20"/>
      <c r="AG20"/>
      <c r="AH20"/>
      <c r="AI20"/>
      <c r="AJ20"/>
    </row>
    <row r="21" spans="1:36" s="347" customFormat="1">
      <c r="A21" s="371" t="s">
        <v>44</v>
      </c>
      <c r="B21" s="372" t="s">
        <v>45</v>
      </c>
      <c r="C21" s="373">
        <f>SUM(C22:C24)</f>
        <v>0</v>
      </c>
      <c r="D21" s="374">
        <f>SUM(D22:D24)</f>
        <v>0</v>
      </c>
      <c r="E21" s="375"/>
      <c r="F21" s="376" t="s">
        <v>279</v>
      </c>
      <c r="G21"/>
      <c r="H21"/>
      <c r="I21"/>
      <c r="J21"/>
      <c r="K21"/>
      <c r="L21"/>
      <c r="M21"/>
      <c r="N21"/>
      <c r="O21"/>
      <c r="P21"/>
      <c r="Q21"/>
      <c r="R21"/>
      <c r="S21"/>
      <c r="T21"/>
      <c r="U21"/>
      <c r="V21"/>
      <c r="W21"/>
      <c r="X21"/>
      <c r="Y21"/>
      <c r="Z21"/>
      <c r="AA21"/>
      <c r="AB21"/>
      <c r="AC21"/>
      <c r="AD21"/>
      <c r="AE21"/>
      <c r="AF21"/>
      <c r="AG21"/>
      <c r="AH21"/>
      <c r="AI21"/>
      <c r="AJ21"/>
    </row>
    <row r="22" spans="1:36" s="347" customFormat="1">
      <c r="A22" s="366">
        <v>1</v>
      </c>
      <c r="B22" s="464" t="s">
        <v>281</v>
      </c>
      <c r="C22" s="465">
        <v>0</v>
      </c>
      <c r="D22" s="466"/>
      <c r="E22" s="467" t="s">
        <v>236</v>
      </c>
      <c r="F22" s="367"/>
      <c r="G22"/>
      <c r="H22"/>
      <c r="I22"/>
      <c r="J22"/>
      <c r="K22"/>
      <c r="L22"/>
      <c r="M22"/>
      <c r="N22"/>
      <c r="O22"/>
      <c r="P22"/>
      <c r="Q22"/>
      <c r="R22"/>
      <c r="S22"/>
      <c r="T22"/>
      <c r="U22"/>
      <c r="V22"/>
      <c r="W22"/>
      <c r="X22"/>
      <c r="Y22"/>
      <c r="Z22"/>
      <c r="AA22"/>
      <c r="AB22"/>
      <c r="AC22"/>
      <c r="AD22"/>
      <c r="AE22"/>
      <c r="AF22"/>
      <c r="AG22"/>
      <c r="AH22"/>
      <c r="AI22"/>
      <c r="AJ22"/>
    </row>
    <row r="23" spans="1:36" s="347" customFormat="1">
      <c r="A23" s="462">
        <v>2</v>
      </c>
      <c r="B23" s="174" t="s">
        <v>285</v>
      </c>
      <c r="C23" s="359">
        <v>0</v>
      </c>
      <c r="D23" s="360"/>
      <c r="E23" s="361" t="s">
        <v>194</v>
      </c>
      <c r="F23" s="463"/>
      <c r="G23"/>
      <c r="H23"/>
      <c r="I23"/>
      <c r="J23"/>
      <c r="K23"/>
      <c r="L23"/>
      <c r="M23"/>
      <c r="N23"/>
      <c r="O23"/>
      <c r="P23"/>
      <c r="Q23"/>
      <c r="R23"/>
      <c r="S23"/>
      <c r="T23"/>
      <c r="U23"/>
      <c r="V23"/>
      <c r="W23"/>
      <c r="X23"/>
      <c r="Y23"/>
      <c r="Z23"/>
      <c r="AA23"/>
      <c r="AB23"/>
      <c r="AC23"/>
      <c r="AD23"/>
      <c r="AE23"/>
      <c r="AF23"/>
      <c r="AG23"/>
      <c r="AH23"/>
      <c r="AI23"/>
      <c r="AJ23"/>
    </row>
    <row r="24" spans="1:36" s="347" customFormat="1">
      <c r="A24" s="368">
        <v>3</v>
      </c>
      <c r="B24" s="176" t="s">
        <v>282</v>
      </c>
      <c r="C24" s="369">
        <v>0</v>
      </c>
      <c r="D24" s="370"/>
      <c r="E24" s="477" t="s">
        <v>271</v>
      </c>
      <c r="F24" s="370"/>
      <c r="G24"/>
      <c r="H24"/>
      <c r="I24"/>
      <c r="J24"/>
      <c r="K24"/>
      <c r="L24"/>
      <c r="M24"/>
      <c r="N24"/>
      <c r="O24"/>
      <c r="P24"/>
      <c r="Q24"/>
      <c r="R24"/>
      <c r="S24"/>
      <c r="T24"/>
      <c r="U24"/>
      <c r="V24"/>
      <c r="W24"/>
      <c r="X24"/>
      <c r="Y24"/>
      <c r="Z24"/>
      <c r="AA24"/>
      <c r="AB24"/>
      <c r="AC24"/>
      <c r="AD24"/>
      <c r="AE24"/>
      <c r="AF24"/>
      <c r="AG24"/>
      <c r="AH24"/>
      <c r="AI24"/>
      <c r="AJ24"/>
    </row>
    <row r="25" spans="1:36" s="347" customFormat="1">
      <c r="A25" s="371" t="s">
        <v>46</v>
      </c>
      <c r="B25" s="377" t="s">
        <v>47</v>
      </c>
      <c r="C25" s="373">
        <f>SUM(C26:C29)</f>
        <v>0</v>
      </c>
      <c r="D25" s="374">
        <f>SUM(D26:D29)</f>
        <v>0</v>
      </c>
      <c r="E25" s="378"/>
      <c r="F25" s="376" t="s">
        <v>68</v>
      </c>
      <c r="G25"/>
      <c r="H25"/>
      <c r="I25"/>
      <c r="J25"/>
      <c r="K25"/>
      <c r="L25"/>
      <c r="M25"/>
      <c r="N25"/>
      <c r="O25"/>
      <c r="P25"/>
      <c r="Q25"/>
      <c r="R25"/>
      <c r="S25"/>
      <c r="T25"/>
      <c r="U25"/>
      <c r="V25"/>
      <c r="W25"/>
      <c r="X25"/>
      <c r="Y25"/>
      <c r="Z25"/>
      <c r="AA25"/>
      <c r="AB25"/>
      <c r="AC25"/>
      <c r="AD25"/>
      <c r="AE25"/>
      <c r="AF25"/>
      <c r="AG25"/>
      <c r="AH25"/>
      <c r="AI25"/>
      <c r="AJ25"/>
    </row>
    <row r="26" spans="1:36" s="347" customFormat="1">
      <c r="A26" s="352">
        <v>1</v>
      </c>
      <c r="B26" s="173" t="s">
        <v>280</v>
      </c>
      <c r="C26" s="354">
        <v>0</v>
      </c>
      <c r="D26" s="355"/>
      <c r="E26" s="355" t="s">
        <v>37</v>
      </c>
      <c r="F26" s="355"/>
      <c r="G26"/>
      <c r="H26"/>
      <c r="I26"/>
      <c r="J26"/>
      <c r="K26"/>
      <c r="L26"/>
      <c r="M26"/>
      <c r="N26"/>
      <c r="O26"/>
      <c r="P26"/>
      <c r="Q26"/>
      <c r="R26"/>
      <c r="S26"/>
      <c r="T26"/>
      <c r="U26"/>
      <c r="V26"/>
      <c r="W26"/>
      <c r="X26"/>
      <c r="Y26"/>
      <c r="Z26"/>
      <c r="AA26"/>
      <c r="AB26"/>
      <c r="AC26"/>
      <c r="AD26"/>
      <c r="AE26"/>
      <c r="AF26"/>
      <c r="AG26"/>
      <c r="AH26"/>
      <c r="AI26"/>
      <c r="AJ26"/>
    </row>
    <row r="27" spans="1:36" s="347" customFormat="1">
      <c r="A27" s="357">
        <v>2</v>
      </c>
      <c r="B27" s="174" t="s">
        <v>284</v>
      </c>
      <c r="C27" s="359">
        <v>0</v>
      </c>
      <c r="D27" s="360"/>
      <c r="E27" s="360" t="s">
        <v>195</v>
      </c>
      <c r="F27" s="360"/>
      <c r="G27"/>
      <c r="H27"/>
      <c r="I27"/>
      <c r="J27"/>
      <c r="K27"/>
      <c r="L27"/>
      <c r="M27"/>
      <c r="N27"/>
      <c r="O27"/>
      <c r="P27"/>
      <c r="Q27"/>
      <c r="R27"/>
      <c r="S27"/>
      <c r="T27"/>
      <c r="U27"/>
      <c r="V27"/>
      <c r="W27"/>
      <c r="X27"/>
      <c r="Y27"/>
      <c r="Z27"/>
      <c r="AA27"/>
      <c r="AB27"/>
      <c r="AC27"/>
      <c r="AD27"/>
      <c r="AE27"/>
      <c r="AF27"/>
      <c r="AG27"/>
      <c r="AH27"/>
      <c r="AI27"/>
      <c r="AJ27"/>
    </row>
    <row r="28" spans="1:36" s="347" customFormat="1">
      <c r="A28" s="357">
        <v>3</v>
      </c>
      <c r="B28" s="174" t="s">
        <v>283</v>
      </c>
      <c r="C28" s="359">
        <v>0</v>
      </c>
      <c r="D28" s="360"/>
      <c r="E28" s="360" t="s">
        <v>286</v>
      </c>
      <c r="F28" s="360"/>
      <c r="G28"/>
      <c r="H28"/>
      <c r="I28"/>
      <c r="J28"/>
      <c r="K28"/>
      <c r="L28"/>
      <c r="M28"/>
      <c r="N28"/>
      <c r="O28"/>
      <c r="P28"/>
      <c r="Q28"/>
      <c r="R28"/>
      <c r="S28"/>
      <c r="T28"/>
      <c r="U28"/>
      <c r="V28"/>
      <c r="W28"/>
      <c r="X28"/>
      <c r="Y28"/>
      <c r="Z28"/>
      <c r="AA28"/>
      <c r="AB28"/>
      <c r="AC28"/>
      <c r="AD28"/>
      <c r="AE28"/>
      <c r="AF28"/>
      <c r="AG28"/>
      <c r="AH28"/>
      <c r="AI28"/>
      <c r="AJ28"/>
    </row>
    <row r="29" spans="1:36" s="347" customFormat="1">
      <c r="A29" s="368">
        <v>4</v>
      </c>
      <c r="B29" s="175" t="s">
        <v>289</v>
      </c>
      <c r="C29" s="369">
        <v>0</v>
      </c>
      <c r="D29" s="370"/>
      <c r="E29" s="370" t="s">
        <v>586</v>
      </c>
      <c r="F29" s="370"/>
      <c r="G29"/>
      <c r="H29"/>
      <c r="I29"/>
      <c r="J29"/>
      <c r="K29"/>
      <c r="L29"/>
      <c r="M29"/>
      <c r="N29"/>
      <c r="O29"/>
      <c r="P29"/>
      <c r="Q29"/>
      <c r="R29"/>
      <c r="S29"/>
      <c r="T29"/>
      <c r="U29"/>
      <c r="V29"/>
      <c r="W29"/>
      <c r="X29"/>
      <c r="Y29"/>
      <c r="Z29"/>
      <c r="AA29"/>
      <c r="AB29"/>
      <c r="AC29"/>
      <c r="AD29"/>
      <c r="AE29"/>
      <c r="AF29"/>
      <c r="AG29"/>
      <c r="AH29"/>
      <c r="AI29"/>
      <c r="AJ29"/>
    </row>
    <row r="30" spans="1:36" s="42" customFormat="1">
      <c r="A30" s="379" t="s">
        <v>50</v>
      </c>
      <c r="B30" s="380" t="s">
        <v>287</v>
      </c>
      <c r="C30" s="381">
        <f>C15+C21-C25</f>
        <v>0</v>
      </c>
      <c r="D30" s="382">
        <f>D15+D21-D25</f>
        <v>0</v>
      </c>
      <c r="E30" s="376"/>
      <c r="F30" s="376" t="s">
        <v>51</v>
      </c>
      <c r="G30"/>
      <c r="H30"/>
      <c r="I30"/>
      <c r="J30"/>
      <c r="K30"/>
      <c r="L30"/>
      <c r="M30"/>
      <c r="N30"/>
      <c r="O30"/>
      <c r="P30"/>
      <c r="Q30"/>
      <c r="R30"/>
      <c r="S30"/>
      <c r="T30"/>
      <c r="U30"/>
      <c r="V30"/>
      <c r="W30"/>
      <c r="X30"/>
      <c r="Y30"/>
      <c r="Z30"/>
      <c r="AA30"/>
      <c r="AB30"/>
      <c r="AC30"/>
      <c r="AD30"/>
      <c r="AE30"/>
      <c r="AF30"/>
      <c r="AG30"/>
      <c r="AH30"/>
      <c r="AI30"/>
      <c r="AJ30"/>
    </row>
    <row r="31" spans="1:36" s="347" customFormat="1">
      <c r="A31" s="379" t="s">
        <v>52</v>
      </c>
      <c r="B31" s="383" t="s">
        <v>288</v>
      </c>
      <c r="C31" s="381">
        <f>C30*0.1</f>
        <v>0</v>
      </c>
      <c r="D31" s="382">
        <f>D30*0.1</f>
        <v>0</v>
      </c>
      <c r="E31" s="376" t="s">
        <v>53</v>
      </c>
      <c r="F31" s="376" t="s">
        <v>54</v>
      </c>
      <c r="G31"/>
      <c r="H31"/>
      <c r="I31"/>
      <c r="J31"/>
      <c r="K31"/>
      <c r="L31"/>
      <c r="M31"/>
      <c r="N31"/>
      <c r="O31"/>
      <c r="P31"/>
      <c r="Q31"/>
      <c r="R31"/>
      <c r="S31"/>
      <c r="T31"/>
      <c r="U31"/>
      <c r="V31"/>
      <c r="W31"/>
      <c r="X31"/>
      <c r="Y31"/>
      <c r="Z31"/>
      <c r="AA31"/>
      <c r="AB31"/>
      <c r="AC31"/>
      <c r="AD31"/>
      <c r="AE31"/>
      <c r="AF31"/>
      <c r="AG31"/>
      <c r="AH31"/>
      <c r="AI31"/>
      <c r="AJ31"/>
    </row>
    <row r="32" spans="1:36" s="347" customFormat="1" ht="26.25">
      <c r="A32" s="379" t="s">
        <v>55</v>
      </c>
      <c r="B32" s="380" t="s">
        <v>448</v>
      </c>
      <c r="C32" s="384">
        <f>C29</f>
        <v>0</v>
      </c>
      <c r="D32" s="376"/>
      <c r="E32" s="376" t="s">
        <v>585</v>
      </c>
      <c r="F32" s="376" t="s">
        <v>56</v>
      </c>
      <c r="G32"/>
      <c r="H32"/>
      <c r="I32"/>
      <c r="J32"/>
      <c r="K32"/>
      <c r="L32"/>
      <c r="M32"/>
      <c r="N32"/>
      <c r="O32"/>
      <c r="P32"/>
      <c r="Q32"/>
      <c r="R32"/>
      <c r="S32"/>
      <c r="T32"/>
      <c r="U32"/>
      <c r="V32"/>
      <c r="W32"/>
      <c r="X32"/>
      <c r="Y32"/>
      <c r="Z32"/>
      <c r="AA32"/>
      <c r="AB32"/>
      <c r="AC32"/>
      <c r="AD32"/>
      <c r="AE32"/>
      <c r="AF32"/>
      <c r="AG32"/>
      <c r="AH32"/>
      <c r="AI32"/>
      <c r="AJ32"/>
    </row>
    <row r="33" spans="1:36" s="347" customFormat="1">
      <c r="A33" s="379" t="s">
        <v>57</v>
      </c>
      <c r="B33" s="383" t="s">
        <v>26</v>
      </c>
      <c r="C33" s="384">
        <f>IF(C32&gt;C31,C32-C31,0)</f>
        <v>0</v>
      </c>
      <c r="D33" s="384">
        <f>IF(D32&gt;D31,D32-D31,0)</f>
        <v>0</v>
      </c>
      <c r="E33" s="376" t="s">
        <v>58</v>
      </c>
      <c r="F33" s="376" t="s">
        <v>59</v>
      </c>
      <c r="G33"/>
      <c r="H33"/>
      <c r="I33"/>
      <c r="J33"/>
      <c r="K33"/>
      <c r="L33"/>
      <c r="M33"/>
      <c r="N33"/>
      <c r="O33"/>
      <c r="P33"/>
      <c r="Q33"/>
      <c r="R33"/>
      <c r="S33"/>
      <c r="T33"/>
      <c r="U33"/>
      <c r="V33"/>
      <c r="W33"/>
      <c r="X33"/>
      <c r="Y33"/>
      <c r="Z33"/>
      <c r="AA33"/>
      <c r="AB33"/>
      <c r="AC33"/>
      <c r="AD33"/>
      <c r="AE33"/>
      <c r="AF33"/>
      <c r="AG33"/>
      <c r="AH33"/>
      <c r="AI33"/>
      <c r="AJ33"/>
    </row>
    <row r="34" spans="1:36" s="162" customFormat="1">
      <c r="G34"/>
      <c r="H34"/>
      <c r="I34"/>
      <c r="J34"/>
      <c r="K34"/>
      <c r="L34"/>
      <c r="M34"/>
      <c r="N34"/>
      <c r="O34"/>
      <c r="P34"/>
      <c r="Q34"/>
      <c r="R34"/>
      <c r="S34"/>
      <c r="T34"/>
      <c r="U34"/>
      <c r="V34"/>
      <c r="W34"/>
      <c r="X34"/>
      <c r="Y34"/>
      <c r="Z34"/>
      <c r="AA34"/>
      <c r="AB34"/>
      <c r="AC34"/>
      <c r="AD34"/>
      <c r="AE34"/>
      <c r="AF34"/>
      <c r="AG34"/>
      <c r="AH34"/>
      <c r="AI34"/>
      <c r="AJ34"/>
    </row>
    <row r="35" spans="1:36" s="162" customFormat="1">
      <c r="A35" s="163" t="s">
        <v>13</v>
      </c>
      <c r="G35"/>
      <c r="H35"/>
      <c r="I35"/>
      <c r="J35"/>
      <c r="K35"/>
      <c r="L35"/>
      <c r="M35"/>
      <c r="N35"/>
      <c r="O35"/>
      <c r="P35"/>
      <c r="Q35"/>
      <c r="R35"/>
      <c r="S35"/>
      <c r="T35"/>
      <c r="U35"/>
      <c r="V35"/>
      <c r="W35"/>
      <c r="X35"/>
      <c r="Y35"/>
      <c r="Z35"/>
      <c r="AA35"/>
      <c r="AB35"/>
      <c r="AC35"/>
      <c r="AD35"/>
      <c r="AE35"/>
      <c r="AF35"/>
      <c r="AG35"/>
      <c r="AH35"/>
      <c r="AI35"/>
      <c r="AJ35"/>
    </row>
    <row r="36" spans="1:36" s="162" customFormat="1">
      <c r="A36" s="162" t="s">
        <v>291</v>
      </c>
      <c r="G36"/>
      <c r="H36"/>
      <c r="I36"/>
      <c r="J36"/>
      <c r="K36"/>
      <c r="L36"/>
      <c r="M36"/>
      <c r="N36"/>
      <c r="O36"/>
      <c r="P36"/>
      <c r="Q36"/>
      <c r="R36"/>
      <c r="S36"/>
      <c r="T36"/>
      <c r="U36"/>
      <c r="V36"/>
      <c r="W36"/>
      <c r="X36"/>
      <c r="Y36"/>
      <c r="Z36"/>
      <c r="AA36"/>
      <c r="AB36"/>
      <c r="AC36"/>
      <c r="AD36"/>
      <c r="AE36"/>
      <c r="AF36"/>
      <c r="AG36"/>
      <c r="AH36"/>
      <c r="AI36"/>
      <c r="AJ36"/>
    </row>
    <row r="37" spans="1:36" s="162" customFormat="1">
      <c r="A37" s="162" t="s">
        <v>292</v>
      </c>
      <c r="G37"/>
      <c r="H37"/>
      <c r="I37"/>
      <c r="J37"/>
      <c r="K37"/>
      <c r="L37"/>
      <c r="M37"/>
      <c r="N37"/>
      <c r="O37"/>
      <c r="P37"/>
      <c r="Q37"/>
      <c r="R37"/>
      <c r="S37"/>
      <c r="T37"/>
      <c r="U37"/>
      <c r="V37"/>
      <c r="W37"/>
      <c r="X37"/>
      <c r="Y37"/>
      <c r="Z37"/>
      <c r="AA37"/>
      <c r="AB37"/>
      <c r="AC37"/>
      <c r="AD37"/>
      <c r="AE37"/>
      <c r="AF37"/>
      <c r="AG37"/>
      <c r="AH37"/>
      <c r="AI37"/>
      <c r="AJ37"/>
    </row>
    <row r="38" spans="1:36" s="162" customFormat="1">
      <c r="A38" s="162" t="s">
        <v>293</v>
      </c>
      <c r="G38"/>
      <c r="H38"/>
      <c r="I38"/>
      <c r="J38"/>
      <c r="K38"/>
      <c r="L38"/>
      <c r="M38"/>
      <c r="N38"/>
      <c r="O38"/>
      <c r="P38"/>
      <c r="Q38"/>
      <c r="R38"/>
      <c r="S38"/>
      <c r="T38"/>
      <c r="U38"/>
      <c r="V38"/>
      <c r="W38"/>
      <c r="X38"/>
      <c r="Y38"/>
      <c r="Z38"/>
      <c r="AA38"/>
      <c r="AB38"/>
      <c r="AC38"/>
      <c r="AD38"/>
      <c r="AE38"/>
      <c r="AF38"/>
      <c r="AG38"/>
      <c r="AH38"/>
      <c r="AI38"/>
      <c r="AJ38"/>
    </row>
    <row r="40" spans="1:36">
      <c r="A40" s="20"/>
      <c r="B40" s="20"/>
    </row>
    <row r="41" spans="1:36">
      <c r="A41" s="20"/>
      <c r="B41" s="20"/>
    </row>
    <row r="42" spans="1:36">
      <c r="A42" s="20"/>
      <c r="B42" s="20"/>
    </row>
    <row r="43" spans="1:36">
      <c r="A43" s="20"/>
      <c r="B43" s="20"/>
    </row>
    <row r="44" spans="1:36">
      <c r="A44" s="20"/>
      <c r="B44" s="20"/>
    </row>
    <row r="45" spans="1:36">
      <c r="A45" s="20"/>
      <c r="B45" s="20"/>
    </row>
    <row r="46" spans="1:36">
      <c r="A46" s="20"/>
      <c r="B46" s="20"/>
    </row>
  </sheetData>
  <mergeCells count="6">
    <mergeCell ref="A7:F7"/>
    <mergeCell ref="A13:A14"/>
    <mergeCell ref="B13:B14"/>
    <mergeCell ref="C13:D13"/>
    <mergeCell ref="E13:E14"/>
    <mergeCell ref="F13:F14"/>
  </mergeCells>
  <pageMargins left="0.7" right="0.7" top="0.75" bottom="0.75" header="0.3" footer="0.3"/>
  <pageSetup scale="64" orientation="portrait" r:id="rId1"/>
</worksheet>
</file>

<file path=xl/worksheets/sheet26.xml><?xml version="1.0" encoding="utf-8"?>
<worksheet xmlns="http://schemas.openxmlformats.org/spreadsheetml/2006/main" xmlns:r="http://schemas.openxmlformats.org/officeDocument/2006/relationships">
  <dimension ref="A1:G18"/>
  <sheetViews>
    <sheetView view="pageBreakPreview" zoomScaleNormal="100" zoomScaleSheetLayoutView="100" workbookViewId="0">
      <selection activeCell="J24" sqref="J24"/>
    </sheetView>
  </sheetViews>
  <sheetFormatPr defaultColWidth="12" defaultRowHeight="14.25"/>
  <cols>
    <col min="1" max="1" width="12" style="390" customWidth="1"/>
    <col min="2" max="2" width="10.85546875" style="390" customWidth="1"/>
    <col min="3" max="3" width="11.140625" style="390" customWidth="1"/>
    <col min="4" max="4" width="27.85546875" style="390" customWidth="1"/>
    <col min="5" max="5" width="12" style="428" customWidth="1"/>
    <col min="6" max="6" width="11" style="429" customWidth="1"/>
    <col min="7" max="7" width="12.140625" style="390" bestFit="1" customWidth="1"/>
    <col min="8" max="255" width="9.140625" style="390" customWidth="1"/>
    <col min="256" max="16384" width="12" style="390"/>
  </cols>
  <sheetData>
    <row r="1" spans="1:7" ht="21">
      <c r="A1" s="385" t="s">
        <v>0</v>
      </c>
      <c r="B1" s="386"/>
      <c r="C1" s="386"/>
      <c r="D1" s="386"/>
      <c r="E1" s="387"/>
      <c r="F1" s="388"/>
      <c r="G1" s="389" t="s">
        <v>585</v>
      </c>
    </row>
    <row r="2" spans="1:7" ht="15">
      <c r="A2" s="391"/>
      <c r="B2" s="386"/>
      <c r="C2" s="386"/>
      <c r="D2" s="386"/>
      <c r="E2" s="387"/>
      <c r="F2" s="388"/>
      <c r="G2" s="392"/>
    </row>
    <row r="3" spans="1:7" s="398" customFormat="1" ht="15">
      <c r="A3" s="430" t="s">
        <v>199</v>
      </c>
      <c r="B3" s="393"/>
      <c r="C3" s="394"/>
      <c r="D3" s="394"/>
      <c r="E3" s="395"/>
      <c r="F3" s="396" t="s">
        <v>2</v>
      </c>
      <c r="G3" s="397" t="s">
        <v>3</v>
      </c>
    </row>
    <row r="4" spans="1:7" s="398" customFormat="1" ht="15">
      <c r="A4" s="430" t="s">
        <v>4</v>
      </c>
      <c r="B4" s="393"/>
      <c r="C4" s="394"/>
      <c r="D4" s="394"/>
      <c r="E4" s="395" t="s">
        <v>5</v>
      </c>
      <c r="F4" s="396"/>
      <c r="G4" s="397"/>
    </row>
    <row r="5" spans="1:7" s="398" customFormat="1" ht="15">
      <c r="A5" s="393"/>
      <c r="B5" s="393"/>
      <c r="C5" s="394"/>
      <c r="D5" s="394"/>
      <c r="E5" s="395" t="s">
        <v>6</v>
      </c>
      <c r="F5" s="342"/>
      <c r="G5" s="399"/>
    </row>
    <row r="6" spans="1:7" s="398" customFormat="1" ht="15">
      <c r="A6" s="393"/>
      <c r="B6" s="393"/>
      <c r="C6" s="394"/>
      <c r="D6" s="394"/>
      <c r="E6" s="400"/>
      <c r="F6" s="401"/>
      <c r="G6" s="394"/>
    </row>
    <row r="7" spans="1:7" s="398" customFormat="1" ht="15">
      <c r="A7" s="393"/>
      <c r="B7" s="393"/>
      <c r="C7" s="394"/>
      <c r="D7" s="394"/>
      <c r="E7" s="400"/>
      <c r="F7" s="401"/>
      <c r="G7" s="394"/>
    </row>
    <row r="8" spans="1:7" s="398" customFormat="1" ht="15.75">
      <c r="A8" s="664" t="s">
        <v>449</v>
      </c>
      <c r="B8" s="664"/>
      <c r="C8" s="664"/>
      <c r="D8" s="664"/>
      <c r="E8" s="664"/>
      <c r="F8" s="664"/>
      <c r="G8" s="664"/>
    </row>
    <row r="9" spans="1:7" s="407" customFormat="1" ht="15">
      <c r="A9" s="402"/>
      <c r="B9" s="403"/>
      <c r="C9" s="403"/>
      <c r="D9" s="404"/>
      <c r="E9" s="405"/>
      <c r="F9" s="404"/>
      <c r="G9" s="406"/>
    </row>
    <row r="10" spans="1:7" s="398" customFormat="1" ht="15">
      <c r="A10" s="661" t="s">
        <v>200</v>
      </c>
      <c r="B10" s="665" t="s">
        <v>201</v>
      </c>
      <c r="C10" s="661" t="s">
        <v>3</v>
      </c>
      <c r="D10" s="665" t="s">
        <v>18</v>
      </c>
      <c r="E10" s="661" t="s">
        <v>11</v>
      </c>
      <c r="F10" s="661"/>
      <c r="G10" s="661" t="s">
        <v>13</v>
      </c>
    </row>
    <row r="11" spans="1:7" s="398" customFormat="1" ht="15">
      <c r="A11" s="661"/>
      <c r="B11" s="666"/>
      <c r="C11" s="661"/>
      <c r="D11" s="666"/>
      <c r="E11" s="280" t="s">
        <v>202</v>
      </c>
      <c r="F11" s="280" t="s">
        <v>203</v>
      </c>
      <c r="G11" s="661"/>
    </row>
    <row r="12" spans="1:7" s="414" customFormat="1" ht="15">
      <c r="A12" s="408"/>
      <c r="B12" s="409"/>
      <c r="C12" s="410"/>
      <c r="D12" s="411"/>
      <c r="E12" s="412"/>
      <c r="F12" s="412"/>
      <c r="G12" s="413"/>
    </row>
    <row r="13" spans="1:7" s="407" customFormat="1" ht="15">
      <c r="A13" s="415"/>
      <c r="B13" s="415"/>
      <c r="C13" s="415"/>
      <c r="D13" s="416"/>
      <c r="E13" s="417"/>
      <c r="F13" s="418"/>
      <c r="G13" s="419"/>
    </row>
    <row r="14" spans="1:7" s="407" customFormat="1" ht="15">
      <c r="A14" s="415"/>
      <c r="B14" s="415"/>
      <c r="C14" s="415"/>
      <c r="D14" s="416"/>
      <c r="E14" s="417"/>
      <c r="F14" s="418"/>
      <c r="G14" s="419"/>
    </row>
    <row r="15" spans="1:7" s="407" customFormat="1" ht="15">
      <c r="A15" s="415"/>
      <c r="B15" s="415"/>
      <c r="C15" s="415"/>
      <c r="D15" s="416"/>
      <c r="E15" s="417"/>
      <c r="F15" s="418"/>
      <c r="G15" s="419"/>
    </row>
    <row r="16" spans="1:7" s="425" customFormat="1" ht="12.75">
      <c r="A16" s="420"/>
      <c r="B16" s="421"/>
      <c r="C16" s="422"/>
      <c r="D16" s="423"/>
      <c r="E16" s="423"/>
      <c r="F16" s="423"/>
      <c r="G16" s="424"/>
    </row>
    <row r="17" spans="1:7" s="425" customFormat="1" ht="12.75">
      <c r="A17" s="646" t="s">
        <v>14</v>
      </c>
      <c r="B17" s="663"/>
      <c r="C17" s="663"/>
      <c r="D17" s="647"/>
      <c r="E17" s="426">
        <v>0</v>
      </c>
      <c r="F17" s="426">
        <v>0</v>
      </c>
      <c r="G17" s="427"/>
    </row>
    <row r="18" spans="1:7" s="425" customFormat="1" ht="12.75">
      <c r="A18" s="646" t="s">
        <v>204</v>
      </c>
      <c r="B18" s="663"/>
      <c r="C18" s="663"/>
      <c r="D18" s="647"/>
      <c r="E18" s="426">
        <f>E17-F17</f>
        <v>0</v>
      </c>
      <c r="F18" s="426"/>
      <c r="G18" s="427"/>
    </row>
  </sheetData>
  <mergeCells count="9">
    <mergeCell ref="A17:D17"/>
    <mergeCell ref="A18:D18"/>
    <mergeCell ref="A8:G8"/>
    <mergeCell ref="A10:A11"/>
    <mergeCell ref="B10:B11"/>
    <mergeCell ref="C10:C11"/>
    <mergeCell ref="D10:D11"/>
    <mergeCell ref="E10:F10"/>
    <mergeCell ref="G10:G11"/>
  </mergeCells>
  <pageMargins left="0.7" right="0.7" top="0.75" bottom="0.75" header="0.3" footer="0.3"/>
  <pageSetup scale="83" orientation="portrait" r:id="rId1"/>
</worksheet>
</file>

<file path=xl/worksheets/sheet27.xml><?xml version="1.0" encoding="utf-8"?>
<worksheet xmlns="http://schemas.openxmlformats.org/spreadsheetml/2006/main" xmlns:r="http://schemas.openxmlformats.org/officeDocument/2006/relationships">
  <dimension ref="A1:I38"/>
  <sheetViews>
    <sheetView view="pageBreakPreview" zoomScaleNormal="100" zoomScaleSheetLayoutView="100" workbookViewId="0">
      <selection activeCell="I6" sqref="I6"/>
    </sheetView>
  </sheetViews>
  <sheetFormatPr defaultRowHeight="15"/>
  <cols>
    <col min="1" max="2" width="3.7109375" customWidth="1"/>
    <col min="3" max="3" width="31.140625" bestFit="1" customWidth="1"/>
    <col min="4" max="4" width="18.85546875" customWidth="1"/>
    <col min="5" max="5" width="12.28515625" customWidth="1"/>
    <col min="6" max="6" width="12" customWidth="1"/>
    <col min="7" max="7" width="12.140625" bestFit="1" customWidth="1"/>
    <col min="8" max="8" width="10.85546875" customWidth="1"/>
    <col min="9" max="9" width="11.42578125" customWidth="1"/>
  </cols>
  <sheetData>
    <row r="1" spans="1:9" ht="21">
      <c r="A1" s="1" t="s">
        <v>0</v>
      </c>
      <c r="B1" s="1"/>
      <c r="I1" s="2" t="s">
        <v>555</v>
      </c>
    </row>
    <row r="3" spans="1:9" ht="15.75">
      <c r="A3" s="287" t="s">
        <v>275</v>
      </c>
      <c r="B3" s="4"/>
      <c r="G3" s="85"/>
      <c r="H3" s="86" t="s">
        <v>2</v>
      </c>
      <c r="I3" s="86" t="s">
        <v>3</v>
      </c>
    </row>
    <row r="4" spans="1:9" ht="15.75">
      <c r="A4" s="287" t="s">
        <v>4</v>
      </c>
      <c r="B4" s="4"/>
      <c r="G4" s="85" t="s">
        <v>5</v>
      </c>
      <c r="H4" s="85"/>
      <c r="I4" s="85"/>
    </row>
    <row r="5" spans="1:9">
      <c r="A5" s="287"/>
      <c r="B5" s="7"/>
      <c r="G5" s="85" t="s">
        <v>6</v>
      </c>
      <c r="H5" s="85"/>
      <c r="I5" s="85"/>
    </row>
    <row r="6" spans="1:9">
      <c r="A6" s="287"/>
      <c r="B6" s="7"/>
      <c r="E6" s="8"/>
      <c r="F6" s="8"/>
      <c r="G6" s="8"/>
    </row>
    <row r="7" spans="1:9" ht="15.75">
      <c r="A7" s="287" t="s">
        <v>192</v>
      </c>
      <c r="B7" s="4"/>
    </row>
    <row r="8" spans="1:9" ht="15.75">
      <c r="A8" s="4"/>
      <c r="B8" s="4"/>
    </row>
    <row r="9" spans="1:9" ht="15.75">
      <c r="A9" s="4"/>
      <c r="B9" s="4"/>
    </row>
    <row r="10" spans="1:9" ht="15.75">
      <c r="A10" s="4"/>
      <c r="B10" s="4"/>
    </row>
    <row r="11" spans="1:9" ht="15.75">
      <c r="A11" s="4"/>
      <c r="B11" s="4"/>
    </row>
    <row r="12" spans="1:9" ht="15.75">
      <c r="A12" s="4"/>
      <c r="B12" s="4"/>
    </row>
    <row r="16" spans="1:9">
      <c r="A16" s="9" t="s">
        <v>92</v>
      </c>
      <c r="B16" s="9"/>
      <c r="H16" s="2" t="s">
        <v>359</v>
      </c>
      <c r="I16" s="561" t="s">
        <v>353</v>
      </c>
    </row>
    <row r="17" spans="1:9">
      <c r="A17" s="9"/>
      <c r="B17" s="9"/>
      <c r="H17" s="138"/>
      <c r="I17" s="45"/>
    </row>
    <row r="18" spans="1:9">
      <c r="A18" s="29">
        <v>1.1000000000000001</v>
      </c>
      <c r="B18" s="243" t="s">
        <v>450</v>
      </c>
      <c r="D18" s="242"/>
      <c r="E18" s="242"/>
      <c r="F18" s="242"/>
      <c r="G18" s="242"/>
      <c r="H18" s="123" t="s">
        <v>24</v>
      </c>
      <c r="I18" s="123" t="s">
        <v>24</v>
      </c>
    </row>
    <row r="19" spans="1:9" s="97" customFormat="1">
      <c r="A19" s="96"/>
      <c r="B19" s="243" t="s">
        <v>451</v>
      </c>
      <c r="D19" s="245"/>
      <c r="E19" s="245"/>
      <c r="F19" s="245"/>
      <c r="G19" s="245"/>
      <c r="H19" s="245"/>
      <c r="I19" s="245"/>
    </row>
    <row r="20" spans="1:9" s="97" customFormat="1">
      <c r="A20" s="96"/>
      <c r="B20" s="243" t="s">
        <v>452</v>
      </c>
      <c r="D20" s="245"/>
      <c r="E20" s="245"/>
      <c r="F20" s="245"/>
      <c r="G20" s="245"/>
      <c r="H20" s="245"/>
      <c r="I20" s="245"/>
    </row>
    <row r="21" spans="1:9" s="95" customFormat="1" ht="12.75">
      <c r="A21" s="244"/>
      <c r="B21" s="562" t="s">
        <v>415</v>
      </c>
      <c r="G21" s="123"/>
      <c r="H21" s="123"/>
    </row>
    <row r="22" spans="1:9" s="97" customFormat="1">
      <c r="A22" s="96"/>
      <c r="B22" s="243"/>
      <c r="D22" s="245"/>
      <c r="E22" s="245"/>
      <c r="F22" s="245"/>
      <c r="G22" s="245"/>
      <c r="H22" s="245"/>
      <c r="I22" s="245"/>
    </row>
    <row r="23" spans="1:9">
      <c r="A23" s="29">
        <v>1.2</v>
      </c>
      <c r="B23" s="243" t="s">
        <v>453</v>
      </c>
      <c r="D23" s="242"/>
      <c r="E23" s="242"/>
      <c r="F23" s="242"/>
      <c r="G23" s="242"/>
      <c r="H23" s="123" t="s">
        <v>24</v>
      </c>
      <c r="I23" s="123" t="s">
        <v>24</v>
      </c>
    </row>
    <row r="24" spans="1:9">
      <c r="A24" s="244"/>
      <c r="B24" s="243" t="s">
        <v>454</v>
      </c>
      <c r="D24" s="242"/>
      <c r="E24" s="242"/>
      <c r="F24" s="242"/>
      <c r="G24" s="242"/>
      <c r="H24" s="242"/>
      <c r="I24" s="35"/>
    </row>
    <row r="25" spans="1:9">
      <c r="A25" s="244"/>
      <c r="B25" s="243" t="s">
        <v>100</v>
      </c>
      <c r="D25" s="242"/>
      <c r="E25" s="242"/>
      <c r="F25" s="242"/>
      <c r="G25" s="242"/>
      <c r="H25" s="242"/>
      <c r="I25" s="35"/>
    </row>
    <row r="26" spans="1:9">
      <c r="A26" s="244"/>
      <c r="B26" s="562" t="s">
        <v>415</v>
      </c>
      <c r="D26" s="242"/>
      <c r="E26" s="242"/>
      <c r="F26" s="242"/>
      <c r="G26" s="242"/>
      <c r="H26" s="242"/>
      <c r="I26" s="35"/>
    </row>
    <row r="27" spans="1:9">
      <c r="A27" s="244"/>
      <c r="B27" s="244"/>
      <c r="C27" s="243"/>
      <c r="D27" s="242"/>
      <c r="E27" s="242"/>
      <c r="F27" s="242"/>
      <c r="G27" s="242"/>
      <c r="H27" s="242"/>
      <c r="I27" s="35"/>
    </row>
    <row r="28" spans="1:9" s="90" customFormat="1" ht="12.75">
      <c r="A28" s="9" t="s">
        <v>8</v>
      </c>
      <c r="B28" s="9"/>
    </row>
    <row r="29" spans="1:9" s="90" customFormat="1" ht="12.75"/>
    <row r="30" spans="1:9" s="90" customFormat="1" ht="12.75">
      <c r="B30" s="256" t="s">
        <v>9</v>
      </c>
      <c r="C30" s="639" t="s">
        <v>10</v>
      </c>
      <c r="D30" s="640"/>
      <c r="E30" s="257" t="s">
        <v>11</v>
      </c>
      <c r="F30" s="258" t="s">
        <v>25</v>
      </c>
      <c r="G30" s="639" t="s">
        <v>66</v>
      </c>
      <c r="H30" s="640"/>
    </row>
    <row r="31" spans="1:9" s="268" customFormat="1" ht="12.75">
      <c r="B31" s="269"/>
      <c r="C31" s="275"/>
      <c r="D31" s="276"/>
      <c r="E31" s="269"/>
      <c r="F31" s="269"/>
      <c r="G31" s="275"/>
      <c r="H31" s="431"/>
    </row>
    <row r="32" spans="1:9" s="95" customFormat="1" ht="12.75">
      <c r="B32" s="106">
        <v>1</v>
      </c>
      <c r="C32" s="667" t="s">
        <v>188</v>
      </c>
      <c r="D32" s="668"/>
      <c r="E32" s="142"/>
      <c r="F32" s="251"/>
      <c r="G32" s="432"/>
      <c r="H32" s="433"/>
    </row>
    <row r="33" spans="1:8" s="146" customFormat="1" ht="12.75">
      <c r="B33" s="271"/>
      <c r="C33" s="277"/>
      <c r="D33" s="278"/>
      <c r="E33" s="273"/>
      <c r="F33" s="274"/>
      <c r="G33" s="434"/>
      <c r="H33" s="435"/>
    </row>
    <row r="34" spans="1:8" s="90" customFormat="1" ht="12.75">
      <c r="B34" s="264"/>
      <c r="C34" s="646" t="s">
        <v>14</v>
      </c>
      <c r="D34" s="647"/>
      <c r="E34" s="265"/>
      <c r="F34" s="266"/>
      <c r="G34" s="436"/>
      <c r="H34" s="267"/>
    </row>
    <row r="35" spans="1:8" s="90" customFormat="1" ht="12.75">
      <c r="A35" s="92"/>
      <c r="B35" s="92"/>
      <c r="C35" s="18"/>
      <c r="D35" s="19"/>
      <c r="E35" s="19"/>
      <c r="F35" s="19"/>
      <c r="G35" s="93"/>
    </row>
    <row r="36" spans="1:8" s="95" customFormat="1" ht="12.75">
      <c r="A36" s="9" t="s">
        <v>15</v>
      </c>
      <c r="B36" s="9"/>
    </row>
    <row r="37" spans="1:8" s="95" customFormat="1" ht="12.75">
      <c r="A37" s="95" t="s">
        <v>187</v>
      </c>
    </row>
    <row r="38" spans="1:8">
      <c r="A38" s="20"/>
      <c r="B38" s="20"/>
      <c r="C38" s="20"/>
    </row>
  </sheetData>
  <mergeCells count="4">
    <mergeCell ref="C30:D30"/>
    <mergeCell ref="C32:D32"/>
    <mergeCell ref="C34:D34"/>
    <mergeCell ref="G30:H30"/>
  </mergeCells>
  <printOptions horizontalCentered="1"/>
  <pageMargins left="0.2" right="0.2" top="0.5" bottom="0.5" header="0.3" footer="0.3"/>
  <pageSetup paperSize="9" scale="86" orientation="portrait" r:id="rId1"/>
  <drawing r:id="rId2"/>
</worksheet>
</file>

<file path=xl/worksheets/sheet28.xml><?xml version="1.0" encoding="utf-8"?>
<worksheet xmlns="http://schemas.openxmlformats.org/spreadsheetml/2006/main" xmlns:r="http://schemas.openxmlformats.org/officeDocument/2006/relationships">
  <dimension ref="A1:I50"/>
  <sheetViews>
    <sheetView view="pageBreakPreview" zoomScaleNormal="100" zoomScaleSheetLayoutView="100" workbookViewId="0">
      <selection activeCell="E7" sqref="E7"/>
    </sheetView>
  </sheetViews>
  <sheetFormatPr defaultRowHeight="15"/>
  <cols>
    <col min="1" max="2" width="3.7109375" customWidth="1"/>
    <col min="3" max="3" width="73.5703125" customWidth="1"/>
    <col min="4" max="4" width="13.7109375" customWidth="1"/>
    <col min="5" max="5" width="11.5703125" customWidth="1"/>
    <col min="6" max="6" width="11.42578125" customWidth="1"/>
    <col min="7" max="7" width="12.140625" bestFit="1" customWidth="1"/>
  </cols>
  <sheetData>
    <row r="1" spans="1:9" ht="21">
      <c r="A1" s="1" t="s">
        <v>0</v>
      </c>
      <c r="B1" s="1"/>
      <c r="F1" s="2" t="s">
        <v>556</v>
      </c>
      <c r="I1" s="3"/>
    </row>
    <row r="3" spans="1:9" ht="15.75">
      <c r="A3" s="287" t="s">
        <v>295</v>
      </c>
      <c r="B3" s="4"/>
      <c r="D3" s="85"/>
      <c r="E3" s="86" t="s">
        <v>2</v>
      </c>
      <c r="F3" s="86" t="s">
        <v>3</v>
      </c>
    </row>
    <row r="4" spans="1:9" ht="15.75">
      <c r="A4" s="287" t="s">
        <v>21</v>
      </c>
      <c r="B4" s="4"/>
      <c r="D4" s="85" t="s">
        <v>5</v>
      </c>
      <c r="E4" s="85"/>
      <c r="F4" s="85"/>
    </row>
    <row r="5" spans="1:9">
      <c r="A5" s="287"/>
      <c r="B5" s="7"/>
      <c r="D5" s="85" t="s">
        <v>6</v>
      </c>
      <c r="E5" s="85"/>
      <c r="F5" s="85"/>
    </row>
    <row r="6" spans="1:9">
      <c r="A6" s="287"/>
      <c r="B6" s="7"/>
      <c r="D6" s="8"/>
    </row>
    <row r="7" spans="1:9" ht="15.75">
      <c r="A7" s="287" t="s">
        <v>252</v>
      </c>
      <c r="B7" s="4"/>
    </row>
    <row r="21" spans="1:6">
      <c r="A21" s="9" t="s">
        <v>92</v>
      </c>
      <c r="B21" s="9"/>
      <c r="E21" s="2" t="s">
        <v>359</v>
      </c>
      <c r="F21" s="561" t="s">
        <v>353</v>
      </c>
    </row>
    <row r="22" spans="1:6" s="23" customFormat="1" ht="12.75"/>
    <row r="23" spans="1:6">
      <c r="A23" s="116">
        <v>1.1000000000000001</v>
      </c>
      <c r="B23" s="563" t="s">
        <v>455</v>
      </c>
      <c r="E23" s="123" t="s">
        <v>24</v>
      </c>
      <c r="F23" s="123" t="s">
        <v>24</v>
      </c>
    </row>
    <row r="24" spans="1:6">
      <c r="A24" s="46"/>
      <c r="B24" s="563" t="s">
        <v>456</v>
      </c>
    </row>
    <row r="25" spans="1:6">
      <c r="A25" s="46"/>
      <c r="B25" s="560"/>
    </row>
    <row r="26" spans="1:6">
      <c r="A26" s="9" t="s">
        <v>8</v>
      </c>
      <c r="B26" s="9"/>
    </row>
    <row r="27" spans="1:6">
      <c r="A27" s="9"/>
      <c r="B27" s="9"/>
    </row>
    <row r="28" spans="1:6">
      <c r="B28" s="280" t="s">
        <v>9</v>
      </c>
      <c r="C28" s="280" t="s">
        <v>10</v>
      </c>
      <c r="D28" s="280" t="s">
        <v>11</v>
      </c>
      <c r="E28" s="300" t="s">
        <v>25</v>
      </c>
      <c r="F28" s="281" t="s">
        <v>13</v>
      </c>
    </row>
    <row r="29" spans="1:6" s="95" customFormat="1" ht="12.75">
      <c r="B29" s="106">
        <v>1</v>
      </c>
      <c r="C29" s="109" t="s">
        <v>296</v>
      </c>
      <c r="D29" s="108">
        <v>0</v>
      </c>
      <c r="E29" s="106" t="s">
        <v>646</v>
      </c>
      <c r="F29" s="253"/>
    </row>
    <row r="30" spans="1:6" s="95" customFormat="1" ht="12.75">
      <c r="B30" s="110">
        <v>2</v>
      </c>
      <c r="C30" s="113" t="s">
        <v>62</v>
      </c>
      <c r="D30" s="112">
        <v>0</v>
      </c>
      <c r="E30" s="110" t="s">
        <v>647</v>
      </c>
      <c r="F30" s="253"/>
    </row>
    <row r="31" spans="1:6" s="95" customFormat="1" ht="12.75">
      <c r="B31" s="110">
        <v>3</v>
      </c>
      <c r="C31" s="113" t="s">
        <v>648</v>
      </c>
      <c r="D31" s="112">
        <v>0</v>
      </c>
      <c r="E31" s="110"/>
      <c r="F31" s="610"/>
    </row>
    <row r="32" spans="1:6" s="95" customFormat="1" ht="12.75">
      <c r="B32" s="110">
        <v>4</v>
      </c>
      <c r="C32" s="113" t="s">
        <v>648</v>
      </c>
      <c r="D32" s="112">
        <v>0</v>
      </c>
      <c r="E32" s="110"/>
      <c r="F32" s="629"/>
    </row>
    <row r="33" spans="1:6" s="95" customFormat="1" ht="12.75">
      <c r="B33" s="102">
        <v>5</v>
      </c>
      <c r="C33" s="118" t="s">
        <v>648</v>
      </c>
      <c r="D33" s="112">
        <v>0</v>
      </c>
      <c r="E33" s="102"/>
      <c r="F33" s="628"/>
    </row>
    <row r="34" spans="1:6">
      <c r="B34" s="437"/>
      <c r="C34" s="317" t="s">
        <v>14</v>
      </c>
      <c r="D34" s="318">
        <f>SUM(D29:D33)</f>
        <v>0</v>
      </c>
      <c r="E34" s="319"/>
      <c r="F34" s="438"/>
    </row>
    <row r="36" spans="1:6" s="95" customFormat="1" ht="12.75">
      <c r="A36" s="9" t="s">
        <v>15</v>
      </c>
      <c r="B36" s="9"/>
    </row>
    <row r="37" spans="1:6" s="95" customFormat="1" ht="12.75">
      <c r="A37" s="95" t="s">
        <v>205</v>
      </c>
    </row>
    <row r="42" spans="1:6">
      <c r="A42" s="20"/>
      <c r="B42" s="20"/>
      <c r="C42" s="20"/>
    </row>
    <row r="43" spans="1:6">
      <c r="A43" s="20"/>
      <c r="B43" s="20"/>
      <c r="C43" s="20"/>
    </row>
    <row r="44" spans="1:6">
      <c r="A44" s="20"/>
      <c r="B44" s="20"/>
      <c r="C44" s="20"/>
    </row>
    <row r="45" spans="1:6">
      <c r="A45" s="20"/>
      <c r="B45" s="20"/>
      <c r="C45" s="20"/>
    </row>
    <row r="46" spans="1:6">
      <c r="A46" s="20"/>
      <c r="B46" s="20"/>
      <c r="C46" s="20"/>
    </row>
    <row r="47" spans="1:6">
      <c r="A47" s="20"/>
      <c r="B47" s="20"/>
      <c r="C47" s="20"/>
    </row>
    <row r="48" spans="1:6">
      <c r="A48" s="20"/>
      <c r="B48" s="20"/>
      <c r="C48" s="20"/>
    </row>
    <row r="49" spans="1:3">
      <c r="A49" s="20"/>
      <c r="B49" s="20"/>
      <c r="C49" s="20"/>
    </row>
    <row r="50" spans="1:3">
      <c r="A50" s="20"/>
      <c r="B50" s="20"/>
      <c r="C50" s="20"/>
    </row>
  </sheetData>
  <printOptions horizontalCentered="1"/>
  <pageMargins left="0.2" right="0.2" top="0.5" bottom="0.5" header="0.3" footer="0.3"/>
  <pageSetup paperSize="9" scale="85" orientation="portrait" r:id="rId1"/>
  <drawing r:id="rId2"/>
</worksheet>
</file>

<file path=xl/worksheets/sheet29.xml><?xml version="1.0" encoding="utf-8"?>
<worksheet xmlns="http://schemas.openxmlformats.org/spreadsheetml/2006/main" xmlns:r="http://schemas.openxmlformats.org/officeDocument/2006/relationships">
  <dimension ref="A1:AH51"/>
  <sheetViews>
    <sheetView view="pageBreakPreview" topLeftCell="A2" zoomScaleNormal="100" zoomScaleSheetLayoutView="100" workbookViewId="0">
      <selection activeCell="A7" sqref="A7"/>
    </sheetView>
  </sheetViews>
  <sheetFormatPr defaultRowHeight="15"/>
  <cols>
    <col min="1" max="1" width="6" style="44" customWidth="1"/>
    <col min="2" max="2" width="51" style="44" customWidth="1"/>
    <col min="3" max="3" width="12.140625" style="44" bestFit="1" customWidth="1"/>
    <col min="4" max="4" width="23.85546875" style="44" bestFit="1" customWidth="1"/>
    <col min="5" max="5" width="16" style="44" customWidth="1"/>
    <col min="6" max="6" width="11.5703125" style="44" customWidth="1"/>
    <col min="7" max="7" width="12.140625" style="44" customWidth="1"/>
    <col min="8" max="8" width="14.28515625" style="44" customWidth="1"/>
    <col min="9" max="16384" width="9.140625" style="44"/>
  </cols>
  <sheetData>
    <row r="1" spans="1:34" s="43" customFormat="1" ht="21">
      <c r="A1" s="1" t="s">
        <v>0</v>
      </c>
      <c r="B1" s="33"/>
      <c r="C1" s="87"/>
      <c r="D1" s="134"/>
      <c r="E1" s="134"/>
      <c r="F1" s="2" t="s">
        <v>615</v>
      </c>
      <c r="G1" s="23"/>
      <c r="H1" s="23"/>
      <c r="I1" s="23"/>
      <c r="J1" s="23"/>
      <c r="K1" s="23"/>
      <c r="L1" s="23"/>
      <c r="M1" s="23"/>
      <c r="N1" s="23"/>
      <c r="O1" s="23"/>
      <c r="P1" s="23"/>
      <c r="Q1" s="23"/>
      <c r="R1" s="23"/>
      <c r="S1" s="23"/>
      <c r="T1" s="23"/>
      <c r="U1" s="23"/>
      <c r="V1" s="23"/>
      <c r="W1" s="23"/>
      <c r="X1" s="23"/>
      <c r="Y1" s="23"/>
      <c r="Z1" s="23"/>
      <c r="AA1" s="23"/>
      <c r="AB1" s="23"/>
      <c r="AC1" s="23"/>
      <c r="AD1" s="23"/>
    </row>
    <row r="2" spans="1:34" customFormat="1">
      <c r="B2" s="33"/>
      <c r="C2" s="87"/>
      <c r="D2" s="33"/>
      <c r="E2" s="33"/>
    </row>
    <row r="3" spans="1:34" customFormat="1" ht="15.75">
      <c r="A3" s="4" t="s">
        <v>20</v>
      </c>
      <c r="C3" s="44"/>
      <c r="D3" s="85"/>
      <c r="E3" s="86" t="s">
        <v>2</v>
      </c>
      <c r="F3" s="86" t="s">
        <v>3</v>
      </c>
    </row>
    <row r="4" spans="1:34" customFormat="1" ht="15.75">
      <c r="A4" s="4" t="s">
        <v>21</v>
      </c>
      <c r="C4" s="44"/>
      <c r="D4" s="85" t="s">
        <v>5</v>
      </c>
      <c r="E4" s="85"/>
      <c r="F4" s="85"/>
    </row>
    <row r="5" spans="1:34" customFormat="1">
      <c r="A5" s="7"/>
      <c r="C5" s="44"/>
      <c r="D5" s="85" t="s">
        <v>6</v>
      </c>
      <c r="E5" s="85"/>
      <c r="F5" s="85"/>
    </row>
    <row r="6" spans="1:34" customFormat="1">
      <c r="A6" s="23"/>
      <c r="B6" s="23"/>
      <c r="C6" s="23"/>
      <c r="D6" s="23"/>
      <c r="E6" s="23"/>
      <c r="F6" s="23"/>
      <c r="G6" s="23"/>
      <c r="H6" s="23"/>
    </row>
    <row r="7" spans="1:34" s="39" customFormat="1" ht="15.75">
      <c r="A7" s="4" t="s">
        <v>616</v>
      </c>
      <c r="B7" s="23"/>
      <c r="C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row>
    <row r="8" spans="1:34" s="23" customFormat="1" ht="12.75">
      <c r="E8" s="2"/>
    </row>
    <row r="9" spans="1:34" s="23" customFormat="1" ht="12.75">
      <c r="E9" s="2"/>
    </row>
    <row r="10" spans="1:34" s="23" customFormat="1" ht="12.75">
      <c r="E10" s="2"/>
    </row>
    <row r="11" spans="1:34" s="23" customFormat="1" ht="12.75">
      <c r="E11" s="2"/>
    </row>
    <row r="12" spans="1:34" s="23" customFormat="1">
      <c r="A12" s="9" t="s">
        <v>91</v>
      </c>
      <c r="E12" s="2"/>
      <c r="F12" s="2" t="s">
        <v>359</v>
      </c>
      <c r="G12" s="561" t="s">
        <v>353</v>
      </c>
    </row>
    <row r="13" spans="1:34" s="23" customFormat="1" ht="12.75">
      <c r="A13" s="9"/>
      <c r="E13" s="2"/>
      <c r="F13" s="189"/>
    </row>
    <row r="14" spans="1:34" s="23" customFormat="1">
      <c r="A14" s="116">
        <v>1.1000000000000001</v>
      </c>
      <c r="B14" s="162" t="s">
        <v>654</v>
      </c>
      <c r="C14"/>
      <c r="D14"/>
      <c r="F14" s="123" t="s">
        <v>24</v>
      </c>
      <c r="G14" s="123" t="s">
        <v>24</v>
      </c>
    </row>
    <row r="15" spans="1:34" s="23" customFormat="1">
      <c r="A15" s="12"/>
      <c r="B15" s="162" t="s">
        <v>493</v>
      </c>
    </row>
    <row r="16" spans="1:34" s="23" customFormat="1" ht="12.75">
      <c r="B16" s="562" t="s">
        <v>415</v>
      </c>
      <c r="G16" s="2"/>
    </row>
    <row r="17" spans="1:34" customFormat="1">
      <c r="A17" s="23"/>
      <c r="B17" s="23"/>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row>
    <row r="18" spans="1:34" s="21" customFormat="1" ht="12.75">
      <c r="A18" s="9" t="s">
        <v>8</v>
      </c>
      <c r="B18" s="23"/>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row>
    <row r="19" spans="1:34" s="21" customFormat="1" ht="12.75">
      <c r="A19" s="7"/>
    </row>
    <row r="20" spans="1:34" s="21" customFormat="1" ht="12.75">
      <c r="A20" s="28" t="s">
        <v>9</v>
      </c>
      <c r="B20" s="28" t="s">
        <v>18</v>
      </c>
      <c r="C20" s="28" t="s">
        <v>11</v>
      </c>
      <c r="D20" s="66" t="s">
        <v>12</v>
      </c>
      <c r="E20" s="75" t="s">
        <v>13</v>
      </c>
    </row>
    <row r="21" spans="1:34" s="21" customFormat="1" ht="25.5">
      <c r="A21" s="51">
        <v>1</v>
      </c>
      <c r="B21" s="212" t="s">
        <v>178</v>
      </c>
      <c r="C21" s="76"/>
      <c r="D21" s="480" t="s">
        <v>321</v>
      </c>
      <c r="E21" s="77"/>
    </row>
    <row r="22" spans="1:34" s="21" customFormat="1" ht="12.75">
      <c r="A22" s="51">
        <v>2</v>
      </c>
      <c r="B22" s="212" t="s">
        <v>179</v>
      </c>
      <c r="C22" s="76">
        <v>0</v>
      </c>
      <c r="D22" s="81" t="s">
        <v>64</v>
      </c>
      <c r="E22" s="77"/>
    </row>
    <row r="23" spans="1:34" s="21" customFormat="1">
      <c r="A23" s="51">
        <v>3</v>
      </c>
      <c r="B23" s="212" t="s">
        <v>180</v>
      </c>
      <c r="C23" s="53">
        <f>IF(C22&gt;C21,C22-C21,0)</f>
        <v>0</v>
      </c>
      <c r="D23" s="62"/>
      <c r="E23" s="52"/>
    </row>
    <row r="24" spans="1:34" s="54" customFormat="1">
      <c r="A24" s="21"/>
      <c r="B24" s="21"/>
      <c r="C24" s="21"/>
      <c r="D24" s="21"/>
      <c r="E24" s="21"/>
    </row>
    <row r="25" spans="1:34" s="54" customFormat="1">
      <c r="A25" s="9" t="s">
        <v>15</v>
      </c>
      <c r="B25" s="21"/>
      <c r="C25" s="21"/>
      <c r="D25" s="21"/>
      <c r="E25" s="21"/>
    </row>
    <row r="26" spans="1:34" s="54" customFormat="1">
      <c r="A26" s="162" t="s">
        <v>617</v>
      </c>
      <c r="B26" s="21"/>
      <c r="C26" s="21"/>
      <c r="D26" s="21"/>
      <c r="E26" s="21"/>
    </row>
    <row r="27" spans="1:34" s="54" customFormat="1">
      <c r="A27" s="21"/>
      <c r="B27" s="21"/>
      <c r="C27" s="21"/>
      <c r="D27" s="21"/>
      <c r="E27" s="21"/>
    </row>
    <row r="28" spans="1:34" s="54" customFormat="1">
      <c r="A28" s="21"/>
      <c r="B28" s="21"/>
      <c r="C28" s="21"/>
      <c r="D28" s="21"/>
      <c r="E28" s="21"/>
    </row>
    <row r="29" spans="1:34" s="54" customFormat="1">
      <c r="A29" s="21"/>
      <c r="B29" s="21"/>
      <c r="C29" s="21"/>
      <c r="D29" s="21"/>
      <c r="E29" s="21"/>
    </row>
    <row r="30" spans="1:34" s="54" customFormat="1">
      <c r="A30" s="21"/>
      <c r="B30" s="21"/>
      <c r="C30" s="21"/>
      <c r="D30" s="21"/>
      <c r="E30" s="21"/>
    </row>
    <row r="31" spans="1:34" s="54" customFormat="1">
      <c r="A31" s="21"/>
      <c r="B31" s="21"/>
      <c r="C31" s="21"/>
      <c r="D31" s="21"/>
      <c r="E31" s="21"/>
    </row>
    <row r="32" spans="1:34" s="54" customFormat="1">
      <c r="A32" s="21"/>
      <c r="B32" s="21"/>
      <c r="C32" s="21"/>
      <c r="D32" s="21"/>
      <c r="E32" s="21"/>
    </row>
    <row r="33" spans="1:5" s="54" customFormat="1">
      <c r="A33" s="21"/>
      <c r="B33" s="21"/>
      <c r="C33" s="21"/>
      <c r="D33" s="21"/>
      <c r="E33" s="21"/>
    </row>
    <row r="34" spans="1:5" s="54" customFormat="1"/>
    <row r="35" spans="1:5" s="54" customFormat="1"/>
    <row r="36" spans="1:5" s="54" customFormat="1"/>
    <row r="37" spans="1:5" s="54" customFormat="1"/>
    <row r="38" spans="1:5" s="54" customFormat="1"/>
    <row r="39" spans="1:5" s="54" customFormat="1"/>
    <row r="40" spans="1:5" s="54" customFormat="1"/>
    <row r="41" spans="1:5" s="54" customFormat="1"/>
    <row r="42" spans="1:5" s="54" customFormat="1"/>
    <row r="43" spans="1:5" s="54" customFormat="1"/>
    <row r="44" spans="1:5" s="54" customFormat="1"/>
    <row r="45" spans="1:5" s="54" customFormat="1"/>
    <row r="46" spans="1:5" s="54" customFormat="1"/>
    <row r="47" spans="1:5" s="54" customFormat="1"/>
    <row r="48" spans="1:5" s="54" customFormat="1"/>
    <row r="49" s="54" customFormat="1"/>
    <row r="50" s="54" customFormat="1"/>
    <row r="51" s="54" customFormat="1"/>
  </sheetData>
  <pageMargins left="0.7" right="0.7" top="0.75" bottom="0.75" header="0.3" footer="0.3"/>
  <pageSetup scale="68" orientation="portrait" r:id="rId1"/>
  <drawing r:id="rId2"/>
</worksheet>
</file>

<file path=xl/worksheets/sheet30.xml><?xml version="1.0" encoding="utf-8"?>
<worksheet xmlns="http://schemas.openxmlformats.org/spreadsheetml/2006/main" xmlns:r="http://schemas.openxmlformats.org/officeDocument/2006/relationships">
  <dimension ref="A1:AH70"/>
  <sheetViews>
    <sheetView view="pageBreakPreview" zoomScaleNormal="100" zoomScaleSheetLayoutView="100" workbookViewId="0">
      <selection activeCell="F39" sqref="F39"/>
    </sheetView>
  </sheetViews>
  <sheetFormatPr defaultRowHeight="15"/>
  <cols>
    <col min="1" max="1" width="6" style="44" customWidth="1"/>
    <col min="2" max="2" width="47.5703125" style="44" customWidth="1"/>
    <col min="3" max="3" width="13.85546875" style="44" customWidth="1"/>
    <col min="4" max="4" width="23.85546875" style="44" bestFit="1" customWidth="1"/>
    <col min="5" max="5" width="16.7109375" style="44" customWidth="1"/>
    <col min="6" max="6" width="15.28515625" style="44" customWidth="1"/>
    <col min="7" max="7" width="12.140625" style="44" customWidth="1"/>
    <col min="8" max="8" width="14.28515625" style="44" customWidth="1"/>
    <col min="9" max="16384" width="9.140625" style="44"/>
  </cols>
  <sheetData>
    <row r="1" spans="1:34" s="43" customFormat="1" ht="21">
      <c r="A1" s="1" t="s">
        <v>0</v>
      </c>
      <c r="B1" s="33"/>
      <c r="C1" s="87"/>
      <c r="E1" s="134"/>
      <c r="F1" s="23"/>
      <c r="G1" s="2" t="s">
        <v>557</v>
      </c>
      <c r="H1" s="23"/>
      <c r="I1" s="23"/>
      <c r="J1" s="23"/>
      <c r="K1" s="23"/>
      <c r="L1" s="23"/>
      <c r="M1" s="23"/>
      <c r="N1" s="23"/>
      <c r="O1" s="23"/>
      <c r="P1" s="23"/>
      <c r="Q1" s="23"/>
      <c r="R1" s="23"/>
      <c r="S1" s="23"/>
      <c r="T1" s="23"/>
      <c r="U1" s="23"/>
      <c r="V1" s="23"/>
      <c r="W1" s="23"/>
      <c r="X1" s="23"/>
      <c r="Y1" s="23"/>
      <c r="Z1" s="23"/>
      <c r="AA1" s="23"/>
      <c r="AB1" s="23"/>
      <c r="AC1" s="23"/>
      <c r="AD1" s="23"/>
    </row>
    <row r="2" spans="1:34" customFormat="1">
      <c r="B2" s="33"/>
      <c r="C2" s="87"/>
      <c r="D2" s="44"/>
      <c r="E2" s="33"/>
    </row>
    <row r="3" spans="1:34" customFormat="1" ht="15.75">
      <c r="A3" s="4" t="s">
        <v>295</v>
      </c>
      <c r="C3" s="44"/>
      <c r="D3" s="44"/>
      <c r="E3" s="86"/>
      <c r="F3" s="86" t="s">
        <v>2</v>
      </c>
      <c r="G3" s="86" t="s">
        <v>3</v>
      </c>
    </row>
    <row r="4" spans="1:34" customFormat="1" ht="15.75">
      <c r="A4" s="4" t="s">
        <v>21</v>
      </c>
      <c r="C4" s="44"/>
      <c r="D4" s="44"/>
      <c r="E4" s="166" t="s">
        <v>5</v>
      </c>
      <c r="F4" s="86"/>
      <c r="G4" s="86"/>
    </row>
    <row r="5" spans="1:34" customFormat="1">
      <c r="A5" s="7"/>
      <c r="C5" s="44"/>
      <c r="D5" s="44"/>
      <c r="E5" s="166" t="s">
        <v>6</v>
      </c>
      <c r="F5" s="86"/>
      <c r="G5" s="86"/>
    </row>
    <row r="6" spans="1:34" customFormat="1">
      <c r="A6" s="23"/>
      <c r="B6" s="23"/>
      <c r="C6" s="23"/>
      <c r="D6" s="23"/>
      <c r="E6" s="23"/>
      <c r="F6" s="23"/>
      <c r="G6" s="23"/>
      <c r="H6" s="23"/>
    </row>
    <row r="7" spans="1:34" s="39" customFormat="1" ht="15.75">
      <c r="A7" s="4" t="s">
        <v>618</v>
      </c>
      <c r="B7" s="23"/>
      <c r="C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row>
    <row r="8" spans="1:34" s="23" customFormat="1" ht="12.75"/>
    <row r="9" spans="1:34" s="23" customFormat="1" ht="12.75"/>
    <row r="10" spans="1:34" s="23" customFormat="1" ht="12.75"/>
    <row r="11" spans="1:34" s="23" customFormat="1" ht="12.75"/>
    <row r="12" spans="1:34" s="23" customFormat="1" ht="12.75"/>
    <row r="13" spans="1:34" s="23" customFormat="1" ht="12.75"/>
    <row r="14" spans="1:34" s="23" customFormat="1" ht="12.75"/>
    <row r="15" spans="1:34" s="23" customFormat="1" ht="12.75"/>
    <row r="16" spans="1:34" s="23" customFormat="1" ht="12.75"/>
    <row r="17" spans="1:7" s="23" customFormat="1" ht="12.75"/>
    <row r="18" spans="1:7" s="23" customFormat="1" ht="12.75"/>
    <row r="19" spans="1:7" s="23" customFormat="1" ht="12.75"/>
    <row r="20" spans="1:7" s="23" customFormat="1" ht="12.75"/>
    <row r="21" spans="1:7" s="23" customFormat="1" ht="12.75"/>
    <row r="22" spans="1:7" s="23" customFormat="1" ht="12.75"/>
    <row r="23" spans="1:7" s="23" customFormat="1" ht="12.75"/>
    <row r="24" spans="1:7" s="23" customFormat="1" ht="12.75"/>
    <row r="25" spans="1:7" s="23" customFormat="1" ht="12.75"/>
    <row r="26" spans="1:7" s="23" customFormat="1">
      <c r="A26" s="9" t="s">
        <v>92</v>
      </c>
      <c r="F26" s="2" t="s">
        <v>359</v>
      </c>
      <c r="G26" s="561" t="s">
        <v>353</v>
      </c>
    </row>
    <row r="27" spans="1:7" s="23" customFormat="1" ht="12.75">
      <c r="A27" s="9"/>
      <c r="F27" s="2"/>
    </row>
    <row r="28" spans="1:7" s="23" customFormat="1" ht="12.75">
      <c r="A28" s="116">
        <v>1.1000000000000001</v>
      </c>
      <c r="B28" s="162" t="s">
        <v>494</v>
      </c>
      <c r="F28" s="123" t="s">
        <v>24</v>
      </c>
      <c r="G28" s="123" t="s">
        <v>24</v>
      </c>
    </row>
    <row r="29" spans="1:7" s="23" customFormat="1" ht="12.75">
      <c r="A29" s="9"/>
      <c r="B29" s="162" t="s">
        <v>495</v>
      </c>
      <c r="F29" s="2"/>
    </row>
    <row r="30" spans="1:7" s="23" customFormat="1" ht="12.75">
      <c r="A30" s="9"/>
      <c r="B30" s="162" t="s">
        <v>496</v>
      </c>
      <c r="F30" s="2"/>
    </row>
    <row r="31" spans="1:7" s="23" customFormat="1" ht="12.75">
      <c r="A31" s="9"/>
      <c r="B31" s="243" t="s">
        <v>497</v>
      </c>
      <c r="F31" s="2"/>
    </row>
    <row r="32" spans="1:7" s="23" customFormat="1" ht="12.75">
      <c r="A32" s="9"/>
      <c r="B32" s="562" t="s">
        <v>415</v>
      </c>
      <c r="F32" s="2"/>
    </row>
    <row r="33" spans="1:34" customFormat="1">
      <c r="A33" s="12"/>
      <c r="B33" s="162"/>
      <c r="C33" s="23"/>
      <c r="D33" s="23"/>
      <c r="E33" s="23"/>
      <c r="F33" s="23"/>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row>
    <row r="34" spans="1:34" customFormat="1">
      <c r="A34" s="9" t="s">
        <v>8</v>
      </c>
      <c r="B34" s="162"/>
      <c r="C34" s="23"/>
      <c r="D34" s="23"/>
      <c r="E34" s="23"/>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row>
    <row r="35" spans="1:34" s="39" customFormat="1" ht="12.75">
      <c r="A35" s="23"/>
      <c r="B35" s="23"/>
      <c r="C35" s="23"/>
      <c r="D35" s="23"/>
      <c r="E35" s="65"/>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row>
    <row r="36" spans="1:34" s="21" customFormat="1" ht="12.75">
      <c r="A36" s="28" t="s">
        <v>9</v>
      </c>
      <c r="B36" s="28" t="s">
        <v>18</v>
      </c>
      <c r="C36" s="28" t="s">
        <v>11</v>
      </c>
      <c r="D36" s="66" t="s">
        <v>12</v>
      </c>
      <c r="E36" s="75" t="s">
        <v>13</v>
      </c>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row>
    <row r="37" spans="1:34" s="21" customFormat="1" ht="25.5">
      <c r="A37" s="78">
        <v>1</v>
      </c>
      <c r="B37" s="212" t="s">
        <v>175</v>
      </c>
      <c r="C37" s="79"/>
      <c r="D37" s="480" t="s">
        <v>321</v>
      </c>
      <c r="E37" s="80"/>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row>
    <row r="38" spans="1:34" s="21" customFormat="1" ht="12.75">
      <c r="A38" s="78">
        <v>2</v>
      </c>
      <c r="B38" s="212" t="s">
        <v>176</v>
      </c>
      <c r="C38" s="79">
        <v>0</v>
      </c>
      <c r="D38" s="81" t="s">
        <v>64</v>
      </c>
      <c r="E38" s="80"/>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row>
    <row r="39" spans="1:34" s="21" customFormat="1">
      <c r="A39" s="62">
        <v>3</v>
      </c>
      <c r="B39" s="212" t="s">
        <v>177</v>
      </c>
      <c r="C39" s="63">
        <f>IF(C38&gt;C37,C38-C37,0)</f>
        <v>0</v>
      </c>
      <c r="D39" s="62"/>
      <c r="E39" s="5"/>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row>
    <row r="40" spans="1:34" s="21" customFormat="1" ht="12.75">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row>
    <row r="41" spans="1:34" s="54" customFormat="1">
      <c r="A41" s="9" t="s">
        <v>15</v>
      </c>
      <c r="B41" s="21"/>
      <c r="C41" s="21"/>
      <c r="D41" s="21"/>
      <c r="E41" s="21"/>
    </row>
    <row r="42" spans="1:34" s="54" customFormat="1">
      <c r="A42" s="162" t="s">
        <v>619</v>
      </c>
      <c r="B42" s="21"/>
      <c r="C42" s="21"/>
      <c r="D42" s="21"/>
      <c r="E42" s="21"/>
    </row>
    <row r="43" spans="1:34" s="54" customFormat="1">
      <c r="A43" s="21"/>
      <c r="B43" s="21"/>
      <c r="C43" s="21"/>
      <c r="D43" s="21"/>
      <c r="E43" s="21"/>
    </row>
    <row r="44" spans="1:34" s="54" customFormat="1">
      <c r="A44" s="21"/>
      <c r="B44" s="21"/>
      <c r="C44" s="21"/>
      <c r="D44" s="21"/>
      <c r="E44" s="21"/>
    </row>
    <row r="45" spans="1:34" s="54" customFormat="1">
      <c r="A45" s="21"/>
      <c r="B45" s="21"/>
      <c r="C45" s="21"/>
      <c r="D45" s="21"/>
      <c r="E45" s="21"/>
    </row>
    <row r="46" spans="1:34" s="54" customFormat="1">
      <c r="A46" s="21"/>
      <c r="B46" s="21"/>
      <c r="C46" s="21"/>
      <c r="D46" s="21"/>
      <c r="E46" s="21"/>
    </row>
    <row r="47" spans="1:34" s="54" customFormat="1">
      <c r="A47" s="21"/>
      <c r="B47" s="21"/>
      <c r="C47" s="21"/>
      <c r="D47" s="21"/>
      <c r="E47" s="21"/>
    </row>
    <row r="48" spans="1:34" s="54" customFormat="1">
      <c r="A48" s="21"/>
      <c r="B48" s="21"/>
      <c r="C48" s="21"/>
      <c r="D48" s="21"/>
      <c r="E48" s="21"/>
    </row>
    <row r="49" spans="1:5" s="54" customFormat="1">
      <c r="A49" s="21"/>
      <c r="B49" s="21"/>
      <c r="C49" s="21"/>
      <c r="D49" s="21"/>
      <c r="E49" s="21"/>
    </row>
    <row r="50" spans="1:5" s="54" customFormat="1">
      <c r="A50" s="21"/>
      <c r="B50" s="21"/>
      <c r="C50" s="21"/>
      <c r="D50" s="21"/>
      <c r="E50" s="21"/>
    </row>
    <row r="51" spans="1:5" s="54" customFormat="1">
      <c r="A51" s="21"/>
      <c r="B51" s="21"/>
      <c r="C51" s="21"/>
      <c r="D51" s="21"/>
      <c r="E51" s="21"/>
    </row>
    <row r="52" spans="1:5" s="54" customFormat="1">
      <c r="A52" s="21"/>
      <c r="B52" s="21"/>
      <c r="C52" s="21"/>
      <c r="D52" s="21"/>
      <c r="E52" s="21"/>
    </row>
    <row r="53" spans="1:5" s="54" customFormat="1"/>
    <row r="54" spans="1:5" s="54" customFormat="1"/>
    <row r="55" spans="1:5" s="54" customFormat="1"/>
    <row r="56" spans="1:5" s="54" customFormat="1"/>
    <row r="57" spans="1:5" s="54" customFormat="1"/>
    <row r="58" spans="1:5" s="54" customFormat="1"/>
    <row r="59" spans="1:5" s="54" customFormat="1"/>
    <row r="60" spans="1:5" s="54" customFormat="1"/>
    <row r="61" spans="1:5" s="54" customFormat="1"/>
    <row r="62" spans="1:5" s="54" customFormat="1"/>
    <row r="63" spans="1:5" s="54" customFormat="1"/>
    <row r="64" spans="1:5" s="54" customFormat="1"/>
    <row r="65" s="54" customFormat="1"/>
    <row r="66" s="54" customFormat="1"/>
    <row r="67" s="54" customFormat="1"/>
    <row r="68" s="54" customFormat="1"/>
    <row r="69" s="54" customFormat="1"/>
    <row r="70" s="54" customFormat="1"/>
  </sheetData>
  <pageMargins left="0.7" right="0.7" top="0.75" bottom="0.75" header="0.3" footer="0.3"/>
  <pageSetup scale="66" orientation="portrait" r:id="rId1"/>
  <drawing r:id="rId2"/>
</worksheet>
</file>

<file path=xl/worksheets/sheet31.xml><?xml version="1.0" encoding="utf-8"?>
<worksheet xmlns="http://schemas.openxmlformats.org/spreadsheetml/2006/main" xmlns:r="http://schemas.openxmlformats.org/officeDocument/2006/relationships">
  <dimension ref="A1:J56"/>
  <sheetViews>
    <sheetView view="pageBreakPreview" zoomScaleNormal="100" zoomScaleSheetLayoutView="100" workbookViewId="0">
      <selection activeCell="H15" sqref="H15"/>
    </sheetView>
  </sheetViews>
  <sheetFormatPr defaultRowHeight="15"/>
  <cols>
    <col min="1" max="1" width="6.42578125" customWidth="1"/>
    <col min="2" max="2" width="30.28515625" customWidth="1"/>
    <col min="3" max="3" width="13.85546875" customWidth="1"/>
    <col min="4" max="4" width="12.85546875" customWidth="1"/>
    <col min="5" max="5" width="11.5703125" customWidth="1"/>
    <col min="6" max="6" width="17" customWidth="1"/>
    <col min="7" max="7" width="12" customWidth="1"/>
    <col min="8" max="8" width="12.140625" bestFit="1" customWidth="1"/>
  </cols>
  <sheetData>
    <row r="1" spans="1:10" ht="21">
      <c r="A1" s="1" t="s">
        <v>0</v>
      </c>
      <c r="G1" s="2" t="s">
        <v>254</v>
      </c>
      <c r="J1" s="3"/>
    </row>
    <row r="3" spans="1:10" ht="15.75">
      <c r="A3" s="4" t="s">
        <v>275</v>
      </c>
      <c r="B3" s="95"/>
      <c r="C3" s="95"/>
      <c r="E3" s="85"/>
      <c r="F3" s="86" t="s">
        <v>2</v>
      </c>
      <c r="G3" s="86" t="s">
        <v>3</v>
      </c>
      <c r="H3" s="95"/>
      <c r="I3" s="95"/>
      <c r="J3" s="95"/>
    </row>
    <row r="4" spans="1:10" ht="15.75">
      <c r="A4" s="4" t="s">
        <v>4</v>
      </c>
      <c r="B4" s="95"/>
      <c r="C4" s="95"/>
      <c r="E4" s="85" t="s">
        <v>5</v>
      </c>
      <c r="F4" s="85"/>
      <c r="G4" s="85"/>
      <c r="H4" s="95"/>
      <c r="I4" s="95"/>
      <c r="J4" s="95"/>
    </row>
    <row r="5" spans="1:10">
      <c r="A5" s="7"/>
      <c r="B5" s="95"/>
      <c r="C5" s="95"/>
      <c r="E5" s="85" t="s">
        <v>6</v>
      </c>
      <c r="F5" s="85"/>
      <c r="G5" s="85"/>
      <c r="H5" s="95"/>
      <c r="I5" s="95"/>
      <c r="J5" s="95"/>
    </row>
    <row r="6" spans="1:10">
      <c r="A6" s="7"/>
      <c r="B6" s="95"/>
      <c r="C6" s="95"/>
      <c r="D6" s="115"/>
      <c r="E6" s="115"/>
      <c r="F6" s="115"/>
      <c r="G6" s="95"/>
      <c r="H6" s="95"/>
      <c r="I6" s="95"/>
      <c r="J6" s="95"/>
    </row>
    <row r="7" spans="1:10" ht="15.75">
      <c r="A7" s="4" t="s">
        <v>258</v>
      </c>
      <c r="B7" s="95"/>
      <c r="C7" s="95"/>
      <c r="D7" s="95"/>
      <c r="E7" s="95"/>
      <c r="F7" s="95"/>
      <c r="G7" s="95"/>
      <c r="H7" s="95"/>
      <c r="I7" s="95"/>
      <c r="J7" s="95"/>
    </row>
    <row r="8" spans="1:10">
      <c r="A8" s="9"/>
      <c r="B8" s="95"/>
      <c r="C8" s="95"/>
      <c r="D8" s="95"/>
      <c r="E8" s="95"/>
      <c r="F8" s="95"/>
      <c r="G8" s="95"/>
      <c r="H8" s="95"/>
      <c r="I8" s="95"/>
      <c r="J8" s="95"/>
    </row>
    <row r="9" spans="1:10">
      <c r="A9" s="9"/>
      <c r="B9" s="95"/>
      <c r="C9" s="95"/>
      <c r="D9" s="95"/>
      <c r="E9" s="95"/>
      <c r="F9" s="95"/>
      <c r="G9" s="95"/>
      <c r="H9" s="95"/>
      <c r="I9" s="95"/>
      <c r="J9" s="95"/>
    </row>
    <row r="10" spans="1:10">
      <c r="A10" s="9"/>
      <c r="B10" s="95"/>
      <c r="C10" s="95"/>
      <c r="D10" s="95"/>
      <c r="E10" s="95"/>
      <c r="F10" s="95"/>
      <c r="G10" s="95"/>
      <c r="H10" s="95"/>
      <c r="I10" s="95"/>
      <c r="J10" s="95"/>
    </row>
    <row r="11" spans="1:10">
      <c r="A11" s="9"/>
      <c r="B11" s="95"/>
      <c r="C11" s="95"/>
      <c r="D11" s="95"/>
      <c r="E11" s="95"/>
      <c r="F11" s="95"/>
      <c r="G11" s="95"/>
      <c r="H11" s="95"/>
      <c r="I11" s="95"/>
      <c r="J11" s="95"/>
    </row>
    <row r="12" spans="1:10">
      <c r="A12" s="9"/>
      <c r="B12" s="95"/>
      <c r="C12" s="95"/>
      <c r="D12" s="95"/>
      <c r="E12" s="95"/>
      <c r="F12" s="95"/>
      <c r="G12" s="95"/>
      <c r="H12" s="95"/>
      <c r="I12" s="95"/>
      <c r="J12" s="95"/>
    </row>
    <row r="13" spans="1:10">
      <c r="A13" s="9"/>
      <c r="B13" s="95"/>
      <c r="C13" s="95"/>
      <c r="D13" s="95"/>
      <c r="E13" s="95"/>
      <c r="F13" s="95"/>
      <c r="G13" s="95"/>
      <c r="H13" s="95"/>
      <c r="I13" s="95"/>
      <c r="J13" s="95"/>
    </row>
    <row r="14" spans="1:10">
      <c r="A14" s="9"/>
      <c r="B14" s="95"/>
      <c r="C14" s="95"/>
      <c r="D14" s="95"/>
      <c r="E14" s="95"/>
      <c r="F14" s="95"/>
      <c r="G14" s="95"/>
      <c r="H14" s="95"/>
      <c r="I14" s="95"/>
      <c r="J14" s="95"/>
    </row>
    <row r="15" spans="1:10">
      <c r="A15" s="9"/>
      <c r="B15" s="95"/>
      <c r="C15" s="95"/>
      <c r="D15" s="95"/>
      <c r="E15" s="95"/>
      <c r="F15" s="95"/>
      <c r="G15" s="95"/>
      <c r="H15" s="95"/>
      <c r="I15" s="95"/>
      <c r="J15" s="95"/>
    </row>
    <row r="16" spans="1:10">
      <c r="A16" s="9"/>
      <c r="B16" s="95"/>
      <c r="C16" s="95"/>
      <c r="D16" s="95"/>
      <c r="E16" s="95"/>
      <c r="F16" s="95"/>
      <c r="G16" s="95"/>
      <c r="H16" s="95"/>
      <c r="I16" s="95"/>
      <c r="J16" s="95"/>
    </row>
    <row r="17" spans="1:10">
      <c r="A17" s="9"/>
      <c r="B17" s="95"/>
      <c r="C17" s="95"/>
      <c r="D17" s="95"/>
      <c r="E17" s="95"/>
      <c r="F17" s="95"/>
      <c r="G17" s="95"/>
      <c r="H17" s="95"/>
      <c r="I17" s="95"/>
      <c r="J17" s="95"/>
    </row>
    <row r="18" spans="1:10">
      <c r="A18" s="9"/>
      <c r="B18" s="95"/>
      <c r="C18" s="95"/>
      <c r="D18" s="95"/>
      <c r="E18" s="95"/>
      <c r="F18" s="95"/>
      <c r="G18" s="95"/>
      <c r="H18" s="95"/>
      <c r="I18" s="95"/>
      <c r="J18" s="95"/>
    </row>
    <row r="19" spans="1:10">
      <c r="A19" s="9"/>
      <c r="B19" s="95"/>
      <c r="C19" s="95"/>
      <c r="D19" s="95"/>
      <c r="E19" s="95"/>
      <c r="F19" s="95"/>
      <c r="G19" s="95"/>
      <c r="H19" s="95"/>
      <c r="I19" s="95"/>
      <c r="J19" s="95"/>
    </row>
    <row r="20" spans="1:10">
      <c r="A20" s="9"/>
      <c r="B20" s="95"/>
      <c r="C20" s="95"/>
      <c r="D20" s="95"/>
      <c r="E20" s="95"/>
      <c r="F20" s="95"/>
      <c r="G20" s="95"/>
      <c r="H20" s="95"/>
      <c r="I20" s="95"/>
      <c r="J20" s="95"/>
    </row>
    <row r="21" spans="1:10">
      <c r="A21" s="9"/>
      <c r="B21" s="95"/>
      <c r="C21" s="95"/>
      <c r="D21" s="95"/>
      <c r="E21" s="95"/>
      <c r="F21" s="95"/>
      <c r="G21" s="95"/>
      <c r="H21" s="95"/>
      <c r="I21" s="95"/>
      <c r="J21" s="95"/>
    </row>
    <row r="22" spans="1:10">
      <c r="A22" s="9"/>
      <c r="B22" s="95"/>
      <c r="C22" s="95"/>
      <c r="D22" s="95"/>
      <c r="E22" s="95"/>
      <c r="F22" s="95"/>
      <c r="G22" s="95"/>
      <c r="H22" s="95"/>
      <c r="I22" s="95"/>
      <c r="J22" s="95"/>
    </row>
    <row r="23" spans="1:10">
      <c r="A23" s="9"/>
      <c r="B23" s="95"/>
      <c r="C23" s="95"/>
      <c r="D23" s="95"/>
      <c r="E23" s="95"/>
      <c r="F23" s="95"/>
      <c r="G23" s="95"/>
      <c r="H23" s="95"/>
      <c r="I23" s="95"/>
      <c r="J23" s="95"/>
    </row>
    <row r="24" spans="1:10">
      <c r="A24" s="9"/>
      <c r="B24" s="95"/>
      <c r="C24" s="95"/>
      <c r="D24" s="95"/>
      <c r="E24" s="95"/>
      <c r="F24" s="95"/>
      <c r="G24" s="95"/>
      <c r="H24" s="95"/>
      <c r="I24" s="95"/>
      <c r="J24" s="95"/>
    </row>
    <row r="25" spans="1:10">
      <c r="A25" s="9"/>
      <c r="B25" s="95"/>
      <c r="C25" s="95"/>
      <c r="D25" s="95"/>
      <c r="E25" s="95"/>
      <c r="F25" s="95"/>
      <c r="G25" s="95"/>
      <c r="H25" s="95"/>
      <c r="I25" s="95"/>
      <c r="J25" s="95"/>
    </row>
    <row r="26" spans="1:10">
      <c r="A26" s="9"/>
      <c r="B26" s="95"/>
      <c r="C26" s="95"/>
      <c r="D26" s="95"/>
      <c r="E26" s="95"/>
      <c r="F26" s="95"/>
      <c r="G26" s="95"/>
      <c r="H26" s="95"/>
      <c r="I26" s="95"/>
      <c r="J26" s="95"/>
    </row>
    <row r="27" spans="1:10">
      <c r="A27" s="9"/>
      <c r="B27" s="95"/>
      <c r="C27" s="95"/>
      <c r="D27" s="95"/>
      <c r="E27" s="95"/>
      <c r="F27" s="95"/>
      <c r="G27" s="95"/>
      <c r="H27" s="95"/>
      <c r="I27" s="95"/>
      <c r="J27" s="95"/>
    </row>
    <row r="28" spans="1:10">
      <c r="A28" s="9"/>
      <c r="B28" s="95"/>
      <c r="C28" s="95"/>
      <c r="D28" s="95"/>
      <c r="E28" s="95"/>
      <c r="F28" s="95"/>
      <c r="G28" s="95"/>
      <c r="H28" s="95"/>
      <c r="I28" s="95"/>
      <c r="J28" s="95"/>
    </row>
    <row r="29" spans="1:10">
      <c r="A29" s="9"/>
      <c r="B29" s="95"/>
      <c r="C29" s="95"/>
      <c r="D29" s="95"/>
      <c r="E29" s="95"/>
      <c r="F29" s="95"/>
      <c r="G29" s="95"/>
      <c r="H29" s="95"/>
      <c r="I29" s="95"/>
      <c r="J29" s="95"/>
    </row>
    <row r="30" spans="1:10">
      <c r="A30" s="9"/>
      <c r="B30" s="95"/>
      <c r="C30" s="95"/>
      <c r="D30" s="95"/>
      <c r="E30" s="95"/>
      <c r="F30" s="95"/>
      <c r="G30" s="95"/>
      <c r="H30" s="95"/>
      <c r="I30" s="95"/>
      <c r="J30" s="95"/>
    </row>
    <row r="31" spans="1:10">
      <c r="A31" s="9"/>
      <c r="B31" s="95"/>
      <c r="C31" s="95"/>
      <c r="D31" s="95"/>
      <c r="E31" s="95"/>
      <c r="F31" s="95"/>
      <c r="G31" s="95"/>
      <c r="H31" s="95"/>
      <c r="I31" s="95"/>
      <c r="J31" s="95"/>
    </row>
    <row r="32" spans="1:10">
      <c r="A32" s="9"/>
      <c r="B32" s="95"/>
      <c r="C32" s="95"/>
      <c r="D32" s="95"/>
      <c r="E32" s="95"/>
      <c r="F32" s="95"/>
      <c r="G32" s="95"/>
      <c r="H32" s="95"/>
      <c r="I32" s="95"/>
      <c r="J32" s="95"/>
    </row>
    <row r="33" spans="1:10">
      <c r="A33" s="9"/>
      <c r="B33" s="95"/>
      <c r="C33" s="95"/>
      <c r="D33" s="95"/>
      <c r="E33" s="95"/>
      <c r="F33" s="95"/>
      <c r="G33" s="95"/>
      <c r="H33" s="95"/>
      <c r="I33" s="95"/>
      <c r="J33" s="95"/>
    </row>
    <row r="34" spans="1:10">
      <c r="A34" s="9"/>
      <c r="B34" s="95"/>
      <c r="C34" s="95"/>
      <c r="D34" s="95"/>
      <c r="E34" s="95"/>
      <c r="F34" s="95"/>
      <c r="G34" s="95"/>
      <c r="H34" s="95"/>
      <c r="I34" s="95"/>
      <c r="J34" s="95"/>
    </row>
    <row r="35" spans="1:10">
      <c r="A35" s="9"/>
      <c r="B35" s="95"/>
      <c r="C35" s="95"/>
      <c r="D35" s="95"/>
      <c r="E35" s="95"/>
      <c r="F35" s="95"/>
      <c r="G35" s="95"/>
      <c r="H35" s="95"/>
      <c r="I35" s="95"/>
      <c r="J35" s="95"/>
    </row>
    <row r="36" spans="1:10">
      <c r="A36" s="9"/>
      <c r="B36" s="95"/>
      <c r="C36" s="95"/>
      <c r="D36" s="95"/>
      <c r="E36" s="95"/>
      <c r="F36" s="95"/>
      <c r="G36" s="95"/>
      <c r="H36" s="95"/>
      <c r="I36" s="95"/>
      <c r="J36" s="95"/>
    </row>
    <row r="37" spans="1:10">
      <c r="A37" s="9" t="s">
        <v>92</v>
      </c>
      <c r="B37" s="95"/>
      <c r="C37" s="95"/>
      <c r="D37" s="95"/>
      <c r="E37" s="95"/>
      <c r="F37" s="95"/>
      <c r="G37" s="2" t="s">
        <v>359</v>
      </c>
      <c r="H37" s="561" t="s">
        <v>353</v>
      </c>
      <c r="I37" s="95"/>
      <c r="J37" s="95"/>
    </row>
    <row r="38" spans="1:10">
      <c r="A38" s="10"/>
      <c r="B38" s="138"/>
      <c r="C38" s="138"/>
      <c r="D38" s="138"/>
      <c r="E38" s="138"/>
      <c r="F38" s="138"/>
      <c r="H38" s="95"/>
      <c r="I38" s="95"/>
      <c r="J38" s="95"/>
    </row>
    <row r="39" spans="1:10">
      <c r="A39" s="116">
        <v>1.1000000000000001</v>
      </c>
      <c r="B39" s="188" t="s">
        <v>323</v>
      </c>
      <c r="C39" s="188"/>
      <c r="D39" s="188"/>
      <c r="E39" s="188"/>
      <c r="G39" s="231" t="s">
        <v>24</v>
      </c>
      <c r="H39" s="231" t="s">
        <v>24</v>
      </c>
      <c r="I39" s="95"/>
      <c r="J39" s="95"/>
    </row>
    <row r="40" spans="1:10">
      <c r="A40" s="139"/>
      <c r="B40" s="171" t="s">
        <v>255</v>
      </c>
      <c r="C40" s="36"/>
      <c r="D40" s="36"/>
      <c r="E40" s="36"/>
      <c r="G40" s="231"/>
      <c r="H40" s="95"/>
      <c r="I40" s="95"/>
      <c r="J40" s="95"/>
    </row>
    <row r="41" spans="1:10" s="23" customFormat="1" ht="12.75">
      <c r="A41" s="9"/>
      <c r="B41" s="243" t="s">
        <v>294</v>
      </c>
      <c r="F41" s="2"/>
    </row>
    <row r="42" spans="1:10">
      <c r="A42" s="139"/>
      <c r="B42" s="675"/>
      <c r="C42" s="675"/>
      <c r="D42" s="675"/>
      <c r="E42" s="675"/>
      <c r="G42" s="231"/>
      <c r="H42" s="95"/>
      <c r="I42" s="95"/>
      <c r="J42" s="95"/>
    </row>
    <row r="43" spans="1:10">
      <c r="A43" s="116">
        <v>1.2</v>
      </c>
      <c r="B43" s="188" t="s">
        <v>324</v>
      </c>
      <c r="C43" s="188"/>
      <c r="D43" s="188"/>
      <c r="E43" s="188"/>
      <c r="G43" s="231" t="s">
        <v>24</v>
      </c>
      <c r="H43" s="231" t="s">
        <v>24</v>
      </c>
      <c r="I43" s="95"/>
      <c r="J43" s="95"/>
    </row>
    <row r="44" spans="1:10">
      <c r="A44" s="116"/>
      <c r="B44" s="188" t="s">
        <v>322</v>
      </c>
      <c r="C44" s="188"/>
      <c r="D44" s="188"/>
      <c r="E44" s="188"/>
      <c r="G44" s="231"/>
      <c r="H44" s="95"/>
      <c r="I44" s="95"/>
      <c r="J44" s="95"/>
    </row>
    <row r="45" spans="1:10">
      <c r="A45" s="95"/>
      <c r="B45" s="95"/>
      <c r="C45" s="95"/>
      <c r="D45" s="95"/>
      <c r="E45" s="95"/>
      <c r="F45" s="95"/>
      <c r="G45" s="95"/>
      <c r="H45" s="95"/>
      <c r="I45" s="95"/>
      <c r="J45" s="95"/>
    </row>
    <row r="46" spans="1:10">
      <c r="A46" s="9" t="s">
        <v>8</v>
      </c>
      <c r="B46" s="95"/>
      <c r="C46" s="95"/>
      <c r="D46" s="95"/>
      <c r="E46" s="95"/>
      <c r="F46" s="95"/>
      <c r="G46" s="95"/>
      <c r="H46" s="95"/>
      <c r="I46" s="95"/>
      <c r="J46" s="95"/>
    </row>
    <row r="47" spans="1:10">
      <c r="A47" s="9"/>
      <c r="B47" s="95"/>
      <c r="C47" s="95"/>
      <c r="D47" s="95"/>
      <c r="E47" s="95"/>
      <c r="F47" s="95"/>
      <c r="G47" s="95"/>
      <c r="H47" s="95"/>
      <c r="I47" s="95"/>
      <c r="J47" s="95"/>
    </row>
    <row r="48" spans="1:10">
      <c r="A48" s="13" t="s">
        <v>9</v>
      </c>
      <c r="B48" s="13" t="s">
        <v>10</v>
      </c>
      <c r="C48" s="13" t="s">
        <v>11</v>
      </c>
      <c r="D48" s="14" t="s">
        <v>12</v>
      </c>
      <c r="E48" s="676" t="s">
        <v>13</v>
      </c>
      <c r="F48" s="677"/>
      <c r="G48" s="95"/>
      <c r="H48" s="95"/>
      <c r="I48" s="95"/>
      <c r="J48" s="95"/>
    </row>
    <row r="49" spans="1:10">
      <c r="A49" s="94">
        <v>1</v>
      </c>
      <c r="B49" s="124"/>
      <c r="C49" s="141">
        <v>0</v>
      </c>
      <c r="D49" s="124"/>
      <c r="E49" s="678"/>
      <c r="F49" s="679"/>
      <c r="G49" s="95"/>
      <c r="H49" s="95"/>
      <c r="I49" s="95"/>
      <c r="J49" s="95"/>
    </row>
    <row r="50" spans="1:10">
      <c r="A50" s="142">
        <v>2</v>
      </c>
      <c r="B50" s="109"/>
      <c r="C50" s="143">
        <v>0</v>
      </c>
      <c r="D50" s="109"/>
      <c r="E50" s="669"/>
      <c r="F50" s="670"/>
      <c r="G50" s="95"/>
      <c r="H50" s="95"/>
      <c r="I50" s="95"/>
      <c r="J50" s="95"/>
    </row>
    <row r="51" spans="1:10">
      <c r="A51" s="142">
        <v>3</v>
      </c>
      <c r="B51" s="109"/>
      <c r="C51" s="143">
        <v>0</v>
      </c>
      <c r="D51" s="109"/>
      <c r="E51" s="669"/>
      <c r="F51" s="670"/>
      <c r="G51" s="95"/>
      <c r="H51" s="95"/>
      <c r="I51" s="95"/>
      <c r="J51" s="95"/>
    </row>
    <row r="52" spans="1:10">
      <c r="A52" s="104">
        <v>4</v>
      </c>
      <c r="B52" s="118"/>
      <c r="C52" s="144">
        <v>0</v>
      </c>
      <c r="D52" s="120"/>
      <c r="E52" s="671"/>
      <c r="F52" s="672"/>
      <c r="G52" s="95"/>
      <c r="H52" s="95"/>
      <c r="I52" s="95"/>
      <c r="J52" s="95"/>
    </row>
    <row r="53" spans="1:10">
      <c r="A53" s="104"/>
      <c r="B53" s="24" t="s">
        <v>14</v>
      </c>
      <c r="C53" s="25">
        <f>SUM(C49:C52)</f>
        <v>0</v>
      </c>
      <c r="D53" s="26"/>
      <c r="E53" s="673"/>
      <c r="F53" s="674"/>
      <c r="G53" s="95"/>
      <c r="H53" s="95"/>
      <c r="I53" s="95"/>
      <c r="J53" s="95"/>
    </row>
    <row r="54" spans="1:10">
      <c r="A54" s="114"/>
      <c r="B54" s="18"/>
      <c r="C54" s="19"/>
      <c r="D54" s="19"/>
      <c r="E54" s="19"/>
      <c r="F54" s="115"/>
      <c r="G54" s="95"/>
      <c r="H54" s="95"/>
      <c r="I54" s="95"/>
      <c r="J54" s="95"/>
    </row>
    <row r="55" spans="1:10">
      <c r="A55" s="9" t="s">
        <v>15</v>
      </c>
      <c r="B55" s="95"/>
      <c r="C55" s="95"/>
      <c r="D55" s="95"/>
      <c r="E55" s="95"/>
      <c r="F55" s="95"/>
      <c r="G55" s="95"/>
      <c r="H55" s="95"/>
      <c r="I55" s="95"/>
      <c r="J55" s="95"/>
    </row>
    <row r="56" spans="1:10">
      <c r="A56" s="95" t="s">
        <v>256</v>
      </c>
      <c r="B56" s="95"/>
      <c r="C56" s="95"/>
      <c r="D56" s="95"/>
      <c r="E56" s="95"/>
      <c r="F56" s="95"/>
      <c r="G56" s="95"/>
      <c r="H56" s="95"/>
      <c r="I56" s="95"/>
      <c r="J56" s="95"/>
    </row>
  </sheetData>
  <mergeCells count="7">
    <mergeCell ref="E50:F50"/>
    <mergeCell ref="E51:F51"/>
    <mergeCell ref="E52:F52"/>
    <mergeCell ref="E53:F53"/>
    <mergeCell ref="B42:E42"/>
    <mergeCell ref="E48:F48"/>
    <mergeCell ref="E49:F49"/>
  </mergeCells>
  <pageMargins left="0.7" right="0.7" top="0.75" bottom="0.75" header="0.3" footer="0.3"/>
  <pageSetup scale="77" orientation="portrait" r:id="rId1"/>
  <drawing r:id="rId2"/>
</worksheet>
</file>

<file path=xl/worksheets/sheet32.xml><?xml version="1.0" encoding="utf-8"?>
<worksheet xmlns="http://schemas.openxmlformats.org/spreadsheetml/2006/main" xmlns:r="http://schemas.openxmlformats.org/officeDocument/2006/relationships">
  <dimension ref="A1:J35"/>
  <sheetViews>
    <sheetView view="pageBreakPreview" zoomScaleNormal="100" zoomScaleSheetLayoutView="100" workbookViewId="0">
      <selection activeCell="C17" sqref="C17"/>
    </sheetView>
  </sheetViews>
  <sheetFormatPr defaultRowHeight="15"/>
  <cols>
    <col min="1" max="1" width="6.42578125" customWidth="1"/>
    <col min="2" max="2" width="30.28515625" customWidth="1"/>
    <col min="3" max="3" width="13.140625" customWidth="1"/>
    <col min="4" max="4" width="12.85546875" customWidth="1"/>
    <col min="5" max="5" width="15.28515625" customWidth="1"/>
    <col min="6" max="6" width="15.7109375" customWidth="1"/>
    <col min="7" max="7" width="12.85546875" customWidth="1"/>
    <col min="8" max="8" width="12.140625" bestFit="1" customWidth="1"/>
  </cols>
  <sheetData>
    <row r="1" spans="1:10" ht="21">
      <c r="A1" s="1" t="s">
        <v>0</v>
      </c>
      <c r="H1" s="2" t="s">
        <v>257</v>
      </c>
      <c r="J1" s="3"/>
    </row>
    <row r="2" spans="1:10">
      <c r="A2" s="95"/>
      <c r="B2" s="95"/>
      <c r="C2" s="95"/>
      <c r="D2" s="95"/>
      <c r="F2" s="95"/>
      <c r="G2" s="95"/>
      <c r="H2" s="95"/>
      <c r="I2" s="95"/>
      <c r="J2" s="95"/>
    </row>
    <row r="3" spans="1:10" ht="15.75">
      <c r="A3" s="4" t="s">
        <v>275</v>
      </c>
      <c r="B3" s="95"/>
      <c r="C3" s="95"/>
      <c r="F3" s="85"/>
      <c r="G3" s="86" t="s">
        <v>2</v>
      </c>
      <c r="H3" s="86" t="s">
        <v>3</v>
      </c>
      <c r="I3" s="95"/>
      <c r="J3" s="95"/>
    </row>
    <row r="4" spans="1:10" ht="15.75">
      <c r="A4" s="4" t="s">
        <v>4</v>
      </c>
      <c r="B4" s="95"/>
      <c r="C4" s="95"/>
      <c r="F4" s="85" t="s">
        <v>5</v>
      </c>
      <c r="G4" s="85"/>
      <c r="H4" s="85"/>
      <c r="I4" s="95"/>
      <c r="J4" s="95"/>
    </row>
    <row r="5" spans="1:10">
      <c r="A5" s="7"/>
      <c r="B5" s="95"/>
      <c r="C5" s="95"/>
      <c r="F5" s="85" t="s">
        <v>6</v>
      </c>
      <c r="G5" s="85"/>
      <c r="H5" s="85"/>
      <c r="I5" s="95"/>
      <c r="J5" s="95"/>
    </row>
    <row r="6" spans="1:10">
      <c r="A6" s="7"/>
      <c r="B6" s="95"/>
      <c r="C6" s="95"/>
      <c r="D6" s="115"/>
      <c r="E6" s="115"/>
      <c r="F6" s="115"/>
      <c r="G6" s="95"/>
      <c r="H6" s="95"/>
      <c r="I6" s="95"/>
      <c r="J6" s="95"/>
    </row>
    <row r="7" spans="1:10" ht="15.75">
      <c r="A7" s="4" t="s">
        <v>259</v>
      </c>
      <c r="B7" s="95"/>
      <c r="C7" s="95"/>
      <c r="D7" s="95"/>
      <c r="E7" s="95"/>
      <c r="F7" s="95"/>
      <c r="G7" s="95"/>
      <c r="H7" s="95"/>
      <c r="I7" s="95"/>
      <c r="J7" s="95"/>
    </row>
    <row r="8" spans="1:10">
      <c r="A8" s="7"/>
      <c r="B8" s="95"/>
      <c r="C8" s="95"/>
      <c r="D8" s="95"/>
      <c r="E8" s="95"/>
      <c r="F8" s="95"/>
      <c r="G8" s="95"/>
      <c r="H8" s="95"/>
      <c r="I8" s="95"/>
      <c r="J8" s="95"/>
    </row>
    <row r="9" spans="1:10">
      <c r="A9" s="7"/>
      <c r="B9" s="95"/>
      <c r="C9" s="95"/>
      <c r="D9" s="95"/>
      <c r="E9" s="95"/>
      <c r="F9" s="95"/>
      <c r="G9" s="95"/>
      <c r="H9" s="95"/>
      <c r="I9" s="95"/>
      <c r="J9" s="95"/>
    </row>
    <row r="10" spans="1:10">
      <c r="A10" s="7"/>
      <c r="B10" s="95"/>
      <c r="C10" s="95"/>
      <c r="D10" s="95"/>
      <c r="E10" s="95"/>
      <c r="F10" s="95"/>
      <c r="G10" s="95"/>
      <c r="H10" s="95"/>
      <c r="I10" s="95"/>
      <c r="J10" s="95"/>
    </row>
    <row r="11" spans="1:10">
      <c r="A11" s="7"/>
      <c r="B11" s="95"/>
      <c r="C11" s="95"/>
      <c r="D11" s="95"/>
      <c r="E11" s="95"/>
      <c r="F11" s="95"/>
      <c r="G11" s="95"/>
      <c r="H11" s="95"/>
      <c r="I11" s="95"/>
      <c r="J11" s="95"/>
    </row>
    <row r="12" spans="1:10">
      <c r="A12" s="95"/>
      <c r="B12" s="95"/>
      <c r="C12" s="95"/>
      <c r="D12" s="95"/>
      <c r="E12" s="95"/>
      <c r="F12" s="95"/>
      <c r="G12" s="95"/>
      <c r="H12" s="95"/>
      <c r="I12" s="95"/>
      <c r="J12" s="95"/>
    </row>
    <row r="13" spans="1:10">
      <c r="A13" s="9" t="s">
        <v>92</v>
      </c>
      <c r="B13" s="95"/>
      <c r="C13" s="95"/>
      <c r="D13" s="95"/>
      <c r="E13" s="95"/>
      <c r="F13" s="95"/>
      <c r="G13" s="2" t="s">
        <v>359</v>
      </c>
      <c r="H13" s="561" t="s">
        <v>353</v>
      </c>
      <c r="I13" s="95"/>
      <c r="J13" s="95"/>
    </row>
    <row r="14" spans="1:10">
      <c r="A14" s="10"/>
      <c r="B14" s="95"/>
      <c r="C14" s="95"/>
      <c r="D14" s="95"/>
      <c r="E14" s="95"/>
      <c r="F14" s="95"/>
      <c r="G14" s="95"/>
      <c r="H14" s="95"/>
      <c r="I14" s="95"/>
      <c r="J14" s="95"/>
    </row>
    <row r="15" spans="1:10">
      <c r="A15" s="116">
        <v>1.1000000000000001</v>
      </c>
      <c r="B15" s="188" t="s">
        <v>325</v>
      </c>
      <c r="C15" s="138"/>
      <c r="D15" s="138"/>
      <c r="E15" s="138"/>
      <c r="F15" s="136"/>
      <c r="G15" s="231" t="s">
        <v>24</v>
      </c>
      <c r="H15" s="231" t="s">
        <v>24</v>
      </c>
      <c r="I15" s="95"/>
      <c r="J15" s="95"/>
    </row>
    <row r="16" spans="1:10">
      <c r="A16" s="139"/>
      <c r="B16" s="188" t="s">
        <v>326</v>
      </c>
      <c r="C16" s="188"/>
      <c r="D16" s="188"/>
      <c r="E16" s="188"/>
      <c r="H16" s="95"/>
      <c r="I16" s="95"/>
      <c r="J16" s="95"/>
    </row>
    <row r="17" spans="1:10">
      <c r="A17" s="139"/>
      <c r="B17" s="188" t="s">
        <v>182</v>
      </c>
      <c r="C17" s="188"/>
      <c r="D17" s="188"/>
      <c r="E17" s="188"/>
      <c r="G17" s="231"/>
      <c r="H17" s="95"/>
      <c r="I17" s="95"/>
      <c r="J17" s="95"/>
    </row>
    <row r="18" spans="1:10">
      <c r="A18" s="116"/>
      <c r="B18" s="188"/>
      <c r="C18" s="188"/>
      <c r="D18" s="188"/>
      <c r="E18" s="188"/>
      <c r="G18" s="231"/>
      <c r="H18" s="95"/>
      <c r="I18" s="95"/>
      <c r="J18" s="95"/>
    </row>
    <row r="19" spans="1:10">
      <c r="A19" s="116">
        <v>1.2</v>
      </c>
      <c r="B19" s="188" t="s">
        <v>260</v>
      </c>
      <c r="C19" s="188"/>
      <c r="D19" s="188"/>
      <c r="E19" s="188"/>
      <c r="G19" s="231" t="s">
        <v>24</v>
      </c>
      <c r="H19" s="231" t="s">
        <v>24</v>
      </c>
      <c r="I19" s="95"/>
      <c r="J19" s="95"/>
    </row>
    <row r="20" spans="1:10">
      <c r="A20" s="10"/>
      <c r="B20" s="95" t="s">
        <v>181</v>
      </c>
      <c r="C20" s="95"/>
      <c r="D20" s="95"/>
      <c r="E20" s="95"/>
      <c r="F20" s="2"/>
      <c r="G20" s="95"/>
      <c r="H20" s="95"/>
      <c r="I20" s="95"/>
      <c r="J20" s="95"/>
    </row>
    <row r="21" spans="1:10">
      <c r="A21" s="95"/>
      <c r="B21" s="95"/>
      <c r="C21" s="95"/>
      <c r="D21" s="95"/>
      <c r="E21" s="95"/>
      <c r="F21" s="95"/>
      <c r="G21" s="95"/>
      <c r="H21" s="95"/>
      <c r="I21" s="95"/>
      <c r="J21" s="95"/>
    </row>
    <row r="22" spans="1:10">
      <c r="A22" s="9" t="s">
        <v>8</v>
      </c>
      <c r="B22" s="95"/>
      <c r="C22" s="95"/>
      <c r="D22" s="95"/>
      <c r="E22" s="95"/>
      <c r="F22" s="95"/>
      <c r="G22" s="95"/>
      <c r="H22" s="95"/>
      <c r="I22" s="95"/>
      <c r="J22" s="95"/>
    </row>
    <row r="23" spans="1:10">
      <c r="A23" s="9"/>
      <c r="B23" s="95"/>
      <c r="C23" s="95"/>
      <c r="D23" s="95"/>
      <c r="E23" s="95"/>
      <c r="F23" s="95"/>
      <c r="G23" s="95"/>
      <c r="H23" s="95"/>
      <c r="I23" s="95"/>
      <c r="J23" s="95"/>
    </row>
    <row r="24" spans="1:10">
      <c r="A24" s="13" t="s">
        <v>9</v>
      </c>
      <c r="B24" s="13" t="s">
        <v>10</v>
      </c>
      <c r="C24" s="13" t="s">
        <v>11</v>
      </c>
      <c r="D24" s="14" t="s">
        <v>12</v>
      </c>
      <c r="E24" s="676" t="s">
        <v>13</v>
      </c>
      <c r="F24" s="677"/>
      <c r="G24" s="95"/>
      <c r="H24" s="95"/>
      <c r="I24" s="95"/>
      <c r="J24" s="95"/>
    </row>
    <row r="25" spans="1:10">
      <c r="A25" s="94">
        <v>1</v>
      </c>
      <c r="B25" s="124"/>
      <c r="C25" s="30">
        <v>0</v>
      </c>
      <c r="D25" s="124"/>
      <c r="E25" s="678"/>
      <c r="F25" s="679"/>
      <c r="G25" s="95"/>
      <c r="H25" s="95"/>
      <c r="I25" s="95"/>
      <c r="J25" s="95"/>
    </row>
    <row r="26" spans="1:10">
      <c r="A26" s="142">
        <v>2</v>
      </c>
      <c r="B26" s="109"/>
      <c r="C26" s="31">
        <v>0</v>
      </c>
      <c r="D26" s="109"/>
      <c r="E26" s="669"/>
      <c r="F26" s="670"/>
      <c r="G26" s="95"/>
      <c r="H26" s="95"/>
      <c r="I26" s="95"/>
      <c r="J26" s="95"/>
    </row>
    <row r="27" spans="1:10">
      <c r="A27" s="142">
        <v>3</v>
      </c>
      <c r="B27" s="109"/>
      <c r="C27" s="31">
        <v>0</v>
      </c>
      <c r="D27" s="109"/>
      <c r="E27" s="669"/>
      <c r="F27" s="670"/>
      <c r="G27" s="95"/>
      <c r="H27" s="95"/>
      <c r="I27" s="95"/>
      <c r="J27" s="95"/>
    </row>
    <row r="28" spans="1:10">
      <c r="A28" s="104">
        <v>4</v>
      </c>
      <c r="B28" s="118"/>
      <c r="C28" s="32">
        <v>0</v>
      </c>
      <c r="D28" s="120"/>
      <c r="E28" s="671"/>
      <c r="F28" s="672"/>
      <c r="G28" s="95"/>
      <c r="H28" s="95"/>
      <c r="I28" s="95"/>
      <c r="J28" s="95"/>
    </row>
    <row r="29" spans="1:10">
      <c r="A29" s="104"/>
      <c r="B29" s="24" t="s">
        <v>14</v>
      </c>
      <c r="C29" s="25">
        <f>SUM(C25:C28)</f>
        <v>0</v>
      </c>
      <c r="D29" s="26"/>
      <c r="E29" s="673"/>
      <c r="F29" s="674"/>
      <c r="G29" s="95"/>
      <c r="H29" s="95"/>
      <c r="I29" s="95"/>
      <c r="J29" s="95"/>
    </row>
    <row r="30" spans="1:10">
      <c r="A30" s="114"/>
      <c r="B30" s="18"/>
      <c r="C30" s="19"/>
      <c r="D30" s="19"/>
      <c r="E30" s="19"/>
      <c r="F30" s="115"/>
      <c r="G30" s="95"/>
      <c r="H30" s="95"/>
      <c r="I30" s="95"/>
      <c r="J30" s="95"/>
    </row>
    <row r="31" spans="1:10">
      <c r="A31" s="9" t="s">
        <v>15</v>
      </c>
      <c r="B31" s="95"/>
      <c r="C31" s="95"/>
      <c r="D31" s="95"/>
      <c r="E31" s="95"/>
      <c r="F31" s="95"/>
      <c r="G31" s="95"/>
      <c r="H31" s="95"/>
      <c r="I31" s="95"/>
      <c r="J31" s="95"/>
    </row>
    <row r="32" spans="1:10">
      <c r="A32" s="95" t="s">
        <v>261</v>
      </c>
      <c r="B32" s="95"/>
      <c r="C32" s="95"/>
      <c r="D32" s="95"/>
      <c r="E32" s="95"/>
      <c r="F32" s="95"/>
      <c r="G32" s="95"/>
      <c r="H32" s="95"/>
      <c r="I32" s="95"/>
      <c r="J32" s="95"/>
    </row>
    <row r="33" spans="1:10">
      <c r="A33" s="95"/>
      <c r="B33" s="95"/>
      <c r="C33" s="95"/>
      <c r="D33" s="95"/>
      <c r="E33" s="95"/>
      <c r="F33" s="95"/>
      <c r="G33" s="95"/>
      <c r="H33" s="95"/>
      <c r="I33" s="95"/>
      <c r="J33" s="95"/>
    </row>
    <row r="34" spans="1:10">
      <c r="A34" s="95"/>
      <c r="B34" s="95"/>
      <c r="C34" s="95"/>
      <c r="D34" s="95"/>
      <c r="E34" s="95"/>
      <c r="F34" s="95"/>
      <c r="G34" s="95"/>
      <c r="H34" s="95"/>
      <c r="I34" s="95"/>
      <c r="J34" s="95"/>
    </row>
    <row r="35" spans="1:10">
      <c r="A35" s="95"/>
      <c r="B35" s="95"/>
      <c r="C35" s="95"/>
      <c r="D35" s="95"/>
      <c r="E35" s="95"/>
      <c r="F35" s="95"/>
      <c r="G35" s="95"/>
      <c r="H35" s="95"/>
      <c r="I35" s="95"/>
      <c r="J35" s="95"/>
    </row>
  </sheetData>
  <mergeCells count="6">
    <mergeCell ref="E27:F27"/>
    <mergeCell ref="E28:F28"/>
    <mergeCell ref="E29:F29"/>
    <mergeCell ref="E24:F24"/>
    <mergeCell ref="E25:F25"/>
    <mergeCell ref="E26:F26"/>
  </mergeCells>
  <pageMargins left="0.7" right="0.7" top="0.75" bottom="0.75" header="0.3" footer="0.3"/>
  <pageSetup scale="76" orientation="portrait" r:id="rId1"/>
  <drawing r:id="rId2"/>
</worksheet>
</file>

<file path=xl/worksheets/sheet33.xml><?xml version="1.0" encoding="utf-8"?>
<worksheet xmlns="http://schemas.openxmlformats.org/spreadsheetml/2006/main" xmlns:r="http://schemas.openxmlformats.org/officeDocument/2006/relationships">
  <dimension ref="A1:J26"/>
  <sheetViews>
    <sheetView view="pageBreakPreview" zoomScaleNormal="100" zoomScaleSheetLayoutView="100" workbookViewId="0">
      <selection activeCell="C17" sqref="C17"/>
    </sheetView>
  </sheetViews>
  <sheetFormatPr defaultRowHeight="15"/>
  <cols>
    <col min="1" max="1" width="6.42578125" customWidth="1"/>
    <col min="2" max="2" width="34.140625" customWidth="1"/>
    <col min="3" max="3" width="13.140625" customWidth="1"/>
    <col min="4" max="4" width="12.85546875" customWidth="1"/>
    <col min="5" max="5" width="15.28515625" customWidth="1"/>
    <col min="6" max="6" width="15.7109375" customWidth="1"/>
    <col min="7" max="7" width="12.7109375" customWidth="1"/>
    <col min="8" max="8" width="12.140625" bestFit="1" customWidth="1"/>
  </cols>
  <sheetData>
    <row r="1" spans="1:10" ht="21">
      <c r="A1" s="1" t="s">
        <v>0</v>
      </c>
      <c r="H1" s="2" t="s">
        <v>262</v>
      </c>
      <c r="J1" s="3"/>
    </row>
    <row r="2" spans="1:10">
      <c r="A2" s="95"/>
      <c r="B2" s="95"/>
      <c r="C2" s="95"/>
      <c r="D2" s="95"/>
      <c r="F2" s="95"/>
      <c r="G2" s="95"/>
      <c r="H2" s="95"/>
      <c r="I2" s="95"/>
      <c r="J2" s="95"/>
    </row>
    <row r="3" spans="1:10" ht="15.75">
      <c r="A3" s="4" t="s">
        <v>1</v>
      </c>
      <c r="B3" s="95"/>
      <c r="C3" s="95"/>
      <c r="F3" s="85"/>
      <c r="G3" s="86" t="s">
        <v>2</v>
      </c>
      <c r="H3" s="86" t="s">
        <v>3</v>
      </c>
      <c r="I3" s="95"/>
      <c r="J3" s="95"/>
    </row>
    <row r="4" spans="1:10" ht="15.75">
      <c r="A4" s="4" t="s">
        <v>4</v>
      </c>
      <c r="B4" s="95"/>
      <c r="C4" s="95"/>
      <c r="F4" s="85" t="s">
        <v>5</v>
      </c>
      <c r="G4" s="85"/>
      <c r="H4" s="85"/>
      <c r="I4" s="95"/>
      <c r="J4" s="95"/>
    </row>
    <row r="5" spans="1:10">
      <c r="A5" s="7"/>
      <c r="B5" s="95"/>
      <c r="C5" s="95"/>
      <c r="F5" s="85" t="s">
        <v>6</v>
      </c>
      <c r="G5" s="85"/>
      <c r="H5" s="85"/>
      <c r="I5" s="95"/>
      <c r="J5" s="95"/>
    </row>
    <row r="6" spans="1:10">
      <c r="A6" s="7"/>
      <c r="B6" s="95"/>
      <c r="C6" s="95"/>
      <c r="D6" s="115"/>
      <c r="E6" s="115"/>
      <c r="I6" s="95"/>
      <c r="J6" s="95"/>
    </row>
    <row r="7" spans="1:10" ht="15.75">
      <c r="A7" s="4" t="s">
        <v>263</v>
      </c>
      <c r="B7" s="95"/>
      <c r="C7" s="95"/>
      <c r="D7" s="95"/>
      <c r="E7" s="95"/>
      <c r="F7" s="95"/>
      <c r="G7" s="95"/>
      <c r="H7" s="95"/>
      <c r="I7" s="95"/>
      <c r="J7" s="95"/>
    </row>
    <row r="8" spans="1:10">
      <c r="A8" s="7"/>
      <c r="B8" s="95"/>
      <c r="C8" s="95"/>
      <c r="D8" s="95"/>
      <c r="E8" s="95"/>
      <c r="F8" s="95"/>
      <c r="G8" s="95"/>
      <c r="H8" s="95"/>
      <c r="I8" s="95"/>
      <c r="J8" s="95"/>
    </row>
    <row r="9" spans="1:10">
      <c r="A9" s="7"/>
      <c r="B9" s="95"/>
      <c r="C9" s="95"/>
      <c r="D9" s="95"/>
      <c r="E9" s="95"/>
      <c r="F9" s="95"/>
      <c r="G9" s="95"/>
      <c r="H9" s="95"/>
      <c r="I9" s="95"/>
      <c r="J9" s="95"/>
    </row>
    <row r="10" spans="1:10">
      <c r="A10" s="7"/>
      <c r="B10" s="95"/>
      <c r="C10" s="95"/>
      <c r="D10" s="95"/>
      <c r="E10" s="95"/>
      <c r="F10" s="95"/>
      <c r="G10" s="95"/>
      <c r="H10" s="95"/>
      <c r="I10" s="95"/>
      <c r="J10" s="95"/>
    </row>
    <row r="11" spans="1:10">
      <c r="A11" s="7"/>
      <c r="B11" s="95"/>
      <c r="C11" s="95"/>
      <c r="D11" s="95"/>
      <c r="E11" s="95"/>
      <c r="F11" s="95"/>
      <c r="G11" s="95"/>
      <c r="H11" s="95"/>
      <c r="I11" s="95"/>
      <c r="J11" s="95"/>
    </row>
    <row r="12" spans="1:10">
      <c r="A12" s="7"/>
      <c r="B12" s="95"/>
      <c r="C12" s="95"/>
      <c r="D12" s="95"/>
      <c r="E12" s="95"/>
      <c r="F12" s="95"/>
      <c r="G12" s="95"/>
      <c r="H12" s="95"/>
      <c r="I12" s="95"/>
      <c r="J12" s="95"/>
    </row>
    <row r="13" spans="1:10">
      <c r="A13" s="7"/>
      <c r="B13" s="95"/>
      <c r="C13" s="95"/>
      <c r="D13" s="95"/>
      <c r="E13" s="95"/>
      <c r="F13" s="95"/>
      <c r="G13" s="95"/>
      <c r="H13" s="95"/>
      <c r="I13" s="95"/>
      <c r="J13" s="95"/>
    </row>
    <row r="14" spans="1:10">
      <c r="A14" s="9" t="s">
        <v>92</v>
      </c>
      <c r="B14" s="95"/>
      <c r="C14" s="95"/>
      <c r="D14" s="95"/>
      <c r="E14" s="95"/>
      <c r="F14" s="95"/>
      <c r="G14" s="2" t="s">
        <v>359</v>
      </c>
      <c r="H14" s="561" t="s">
        <v>353</v>
      </c>
      <c r="I14" s="95"/>
      <c r="J14" s="95"/>
    </row>
    <row r="15" spans="1:10">
      <c r="A15" s="10"/>
      <c r="B15" s="95"/>
      <c r="C15" s="95"/>
      <c r="D15" s="95"/>
      <c r="E15" s="95"/>
      <c r="F15" s="95"/>
      <c r="G15" s="95"/>
      <c r="H15" s="95"/>
      <c r="I15" s="95"/>
      <c r="J15" s="95"/>
    </row>
    <row r="16" spans="1:10">
      <c r="A16" s="116">
        <v>1.1000000000000001</v>
      </c>
      <c r="B16" s="188" t="s">
        <v>327</v>
      </c>
      <c r="C16" s="188"/>
      <c r="D16" s="188"/>
      <c r="E16" s="188"/>
      <c r="F16" s="136"/>
      <c r="G16" s="231" t="s">
        <v>24</v>
      </c>
      <c r="H16" s="231" t="s">
        <v>24</v>
      </c>
      <c r="I16" s="95"/>
      <c r="J16" s="95"/>
    </row>
    <row r="17" spans="1:10" s="33" customFormat="1">
      <c r="A17" s="145"/>
      <c r="B17" s="188" t="s">
        <v>328</v>
      </c>
      <c r="C17" s="188"/>
      <c r="D17" s="188"/>
      <c r="E17" s="188"/>
      <c r="F17" s="140"/>
      <c r="G17"/>
      <c r="H17" s="146"/>
      <c r="I17" s="146"/>
      <c r="J17" s="146"/>
    </row>
    <row r="18" spans="1:10">
      <c r="A18" s="10"/>
      <c r="B18" s="188"/>
      <c r="C18" s="188"/>
      <c r="D18" s="188"/>
      <c r="E18" s="188"/>
      <c r="F18" s="2"/>
      <c r="G18" s="231"/>
      <c r="H18" s="95"/>
      <c r="I18" s="95"/>
      <c r="J18" s="95"/>
    </row>
    <row r="19" spans="1:10">
      <c r="A19" s="9" t="s">
        <v>8</v>
      </c>
      <c r="B19" s="95"/>
      <c r="C19" s="95"/>
      <c r="D19" s="95"/>
      <c r="E19" s="95"/>
      <c r="F19" s="95"/>
      <c r="G19" s="231"/>
      <c r="H19" s="95"/>
      <c r="I19" s="95"/>
      <c r="J19" s="95"/>
    </row>
    <row r="20" spans="1:10">
      <c r="A20" s="9"/>
      <c r="B20" s="95"/>
      <c r="C20" s="95"/>
      <c r="D20" s="95"/>
      <c r="E20" s="95"/>
      <c r="F20" s="95"/>
      <c r="G20" s="231" t="s">
        <v>24</v>
      </c>
      <c r="H20" s="231" t="s">
        <v>24</v>
      </c>
      <c r="I20" s="95"/>
      <c r="J20" s="95"/>
    </row>
    <row r="21" spans="1:10">
      <c r="A21" s="13" t="s">
        <v>9</v>
      </c>
      <c r="B21" s="13" t="s">
        <v>10</v>
      </c>
      <c r="C21" s="13" t="s">
        <v>11</v>
      </c>
      <c r="D21" s="14" t="s">
        <v>12</v>
      </c>
      <c r="E21" s="676" t="s">
        <v>13</v>
      </c>
      <c r="F21" s="677"/>
      <c r="G21" s="95"/>
      <c r="H21" s="95"/>
      <c r="I21" s="95"/>
      <c r="J21" s="95"/>
    </row>
    <row r="22" spans="1:10" ht="26.25">
      <c r="A22" s="148">
        <v>1</v>
      </c>
      <c r="B22" s="121" t="s">
        <v>499</v>
      </c>
      <c r="C22" s="149">
        <v>0</v>
      </c>
      <c r="D22" s="122"/>
      <c r="E22" s="678"/>
      <c r="F22" s="679"/>
      <c r="G22" s="95"/>
      <c r="H22" s="95"/>
      <c r="I22" s="95"/>
      <c r="J22" s="95"/>
    </row>
    <row r="23" spans="1:10">
      <c r="A23" s="86"/>
      <c r="B23" s="137" t="s">
        <v>14</v>
      </c>
      <c r="C23" s="15">
        <f>SUM(C22:C22)</f>
        <v>0</v>
      </c>
      <c r="D23" s="16"/>
      <c r="E23" s="673"/>
      <c r="F23" s="674"/>
      <c r="G23" s="95"/>
      <c r="H23" s="95"/>
      <c r="I23" s="95"/>
      <c r="J23" s="95"/>
    </row>
    <row r="24" spans="1:10">
      <c r="A24" s="114"/>
      <c r="B24" s="18"/>
      <c r="C24" s="19"/>
      <c r="D24" s="19"/>
      <c r="E24" s="19"/>
      <c r="F24" s="115"/>
      <c r="G24" s="95"/>
      <c r="H24" s="95"/>
      <c r="I24" s="95"/>
      <c r="J24" s="95"/>
    </row>
    <row r="25" spans="1:10">
      <c r="A25" s="9" t="s">
        <v>15</v>
      </c>
      <c r="B25" s="95"/>
      <c r="C25" s="95"/>
      <c r="D25" s="95"/>
      <c r="E25" s="95"/>
      <c r="F25" s="95"/>
      <c r="G25" s="95"/>
      <c r="H25" s="95"/>
      <c r="I25" s="95"/>
      <c r="J25" s="95"/>
    </row>
    <row r="26" spans="1:10">
      <c r="A26" s="162" t="s">
        <v>329</v>
      </c>
      <c r="B26" s="95"/>
      <c r="C26" s="95"/>
      <c r="D26" s="95"/>
      <c r="E26" s="95"/>
      <c r="F26" s="95"/>
      <c r="G26" s="95"/>
      <c r="H26" s="95"/>
      <c r="I26" s="95"/>
      <c r="J26" s="95"/>
    </row>
  </sheetData>
  <mergeCells count="3">
    <mergeCell ref="E23:F23"/>
    <mergeCell ref="E21:F21"/>
    <mergeCell ref="E22:F22"/>
  </mergeCells>
  <pageMargins left="0.7" right="0.7" top="0.75" bottom="0.75" header="0.3" footer="0.3"/>
  <pageSetup scale="73" orientation="portrait" r:id="rId1"/>
  <drawing r:id="rId2"/>
</worksheet>
</file>

<file path=xl/worksheets/sheet34.xml><?xml version="1.0" encoding="utf-8"?>
<worksheet xmlns="http://schemas.openxmlformats.org/spreadsheetml/2006/main" xmlns:r="http://schemas.openxmlformats.org/officeDocument/2006/relationships">
  <dimension ref="A1:I49"/>
  <sheetViews>
    <sheetView view="pageBreakPreview" topLeftCell="A13" zoomScaleNormal="100" zoomScaleSheetLayoutView="100" workbookViewId="0">
      <selection activeCell="C27" sqref="C27"/>
    </sheetView>
  </sheetViews>
  <sheetFormatPr defaultRowHeight="15"/>
  <cols>
    <col min="1" max="2" width="3.7109375" customWidth="1"/>
    <col min="3" max="3" width="73.5703125" customWidth="1"/>
    <col min="4" max="4" width="13.7109375" customWidth="1"/>
    <col min="5" max="5" width="11.5703125" customWidth="1"/>
    <col min="6" max="6" width="11.42578125" customWidth="1"/>
    <col min="7" max="7" width="12.140625" bestFit="1" customWidth="1"/>
  </cols>
  <sheetData>
    <row r="1" spans="1:9" ht="21">
      <c r="A1" s="1" t="s">
        <v>0</v>
      </c>
      <c r="B1" s="1"/>
      <c r="F1" s="2" t="s">
        <v>558</v>
      </c>
      <c r="I1" s="3"/>
    </row>
    <row r="3" spans="1:9" ht="15.75">
      <c r="A3" s="287" t="s">
        <v>20</v>
      </c>
      <c r="B3" s="4"/>
      <c r="D3" s="85"/>
      <c r="E3" s="86" t="s">
        <v>2</v>
      </c>
      <c r="F3" s="86" t="s">
        <v>3</v>
      </c>
    </row>
    <row r="4" spans="1:9" ht="15.75">
      <c r="A4" s="287" t="s">
        <v>21</v>
      </c>
      <c r="B4" s="4"/>
      <c r="D4" s="85" t="s">
        <v>5</v>
      </c>
      <c r="E4" s="85"/>
      <c r="F4" s="85"/>
    </row>
    <row r="5" spans="1:9">
      <c r="A5" s="287"/>
      <c r="B5" s="7"/>
      <c r="D5" s="85" t="s">
        <v>6</v>
      </c>
      <c r="E5" s="85"/>
      <c r="F5" s="85"/>
    </row>
    <row r="6" spans="1:9">
      <c r="A6" s="287"/>
      <c r="B6" s="7"/>
      <c r="D6" s="8"/>
    </row>
    <row r="7" spans="1:9" ht="15.75">
      <c r="A7" s="287" t="s">
        <v>265</v>
      </c>
      <c r="B7" s="4"/>
    </row>
    <row r="22" spans="1:6" s="8" customFormat="1"/>
    <row r="23" spans="1:6">
      <c r="A23" s="9" t="s">
        <v>92</v>
      </c>
      <c r="B23" s="9"/>
      <c r="E23" s="2" t="s">
        <v>359</v>
      </c>
      <c r="F23" s="561" t="s">
        <v>353</v>
      </c>
    </row>
    <row r="24" spans="1:6" s="23" customFormat="1" ht="12.75"/>
    <row r="25" spans="1:6">
      <c r="A25" s="116">
        <v>1.1000000000000001</v>
      </c>
      <c r="B25" s="178" t="s">
        <v>330</v>
      </c>
      <c r="E25" s="123" t="s">
        <v>24</v>
      </c>
      <c r="F25" s="123" t="s">
        <v>24</v>
      </c>
    </row>
    <row r="26" spans="1:6">
      <c r="A26" s="46"/>
      <c r="B26" s="46"/>
    </row>
    <row r="27" spans="1:6">
      <c r="A27" s="9" t="s">
        <v>8</v>
      </c>
      <c r="B27" s="9"/>
    </row>
    <row r="28" spans="1:6">
      <c r="A28" s="9"/>
      <c r="B28" s="9"/>
    </row>
    <row r="29" spans="1:6">
      <c r="B29" s="280" t="s">
        <v>9</v>
      </c>
      <c r="C29" s="280" t="s">
        <v>10</v>
      </c>
      <c r="D29" s="280" t="s">
        <v>11</v>
      </c>
      <c r="E29" s="300" t="s">
        <v>25</v>
      </c>
      <c r="F29" s="281" t="s">
        <v>13</v>
      </c>
    </row>
    <row r="30" spans="1:6" s="95" customFormat="1" ht="12.75">
      <c r="B30" s="94">
        <v>1</v>
      </c>
      <c r="C30" s="124" t="s">
        <v>656</v>
      </c>
      <c r="D30" s="125"/>
      <c r="E30" s="106" t="s">
        <v>238</v>
      </c>
      <c r="F30" s="453"/>
    </row>
    <row r="31" spans="1:6" s="95" customFormat="1" ht="12.75">
      <c r="B31" s="94">
        <v>2</v>
      </c>
      <c r="C31" s="124" t="s">
        <v>23</v>
      </c>
      <c r="D31" s="125"/>
      <c r="E31" s="106" t="s">
        <v>239</v>
      </c>
      <c r="F31" s="468"/>
    </row>
    <row r="32" spans="1:6" s="95" customFormat="1" ht="12.75">
      <c r="B32" s="102"/>
      <c r="C32" s="118"/>
      <c r="D32" s="119"/>
      <c r="E32" s="472"/>
      <c r="F32" s="452"/>
    </row>
    <row r="33" spans="1:6">
      <c r="B33" s="437"/>
      <c r="C33" s="317" t="s">
        <v>14</v>
      </c>
      <c r="D33" s="318">
        <f>SUM(D30:D32)</f>
        <v>0</v>
      </c>
      <c r="E33" s="265"/>
      <c r="F33" s="438"/>
    </row>
    <row r="35" spans="1:6" s="95" customFormat="1" ht="12.75">
      <c r="A35" s="9" t="s">
        <v>15</v>
      </c>
      <c r="B35" s="9"/>
    </row>
    <row r="36" spans="1:6" s="95" customFormat="1" ht="12.75">
      <c r="A36" s="162" t="s">
        <v>331</v>
      </c>
    </row>
    <row r="41" spans="1:6">
      <c r="A41" s="20"/>
      <c r="B41" s="20"/>
      <c r="C41" s="20"/>
    </row>
    <row r="42" spans="1:6">
      <c r="A42" s="20"/>
      <c r="B42" s="20"/>
      <c r="C42" s="20"/>
    </row>
    <row r="43" spans="1:6">
      <c r="A43" s="20"/>
      <c r="B43" s="20"/>
      <c r="C43" s="20"/>
    </row>
    <row r="44" spans="1:6">
      <c r="A44" s="20"/>
      <c r="B44" s="20"/>
      <c r="C44" s="20"/>
    </row>
    <row r="45" spans="1:6">
      <c r="A45" s="20"/>
      <c r="B45" s="20"/>
      <c r="C45" s="20"/>
    </row>
    <row r="46" spans="1:6">
      <c r="A46" s="20"/>
      <c r="B46" s="20"/>
      <c r="C46" s="20"/>
    </row>
    <row r="47" spans="1:6">
      <c r="A47" s="20"/>
      <c r="B47" s="20"/>
      <c r="C47" s="20"/>
    </row>
    <row r="48" spans="1:6">
      <c r="A48" s="20"/>
      <c r="B48" s="20"/>
      <c r="C48" s="20"/>
    </row>
    <row r="49" spans="1:3">
      <c r="A49" s="20"/>
      <c r="B49" s="20"/>
      <c r="C49" s="20"/>
    </row>
  </sheetData>
  <pageMargins left="0.47" right="0.39" top="0.75" bottom="0.75" header="0.3" footer="0.3"/>
  <pageSetup paperSize="9" scale="80" orientation="portrait" r:id="rId1"/>
  <drawing r:id="rId2"/>
</worksheet>
</file>

<file path=xl/worksheets/sheet35.xml><?xml version="1.0" encoding="utf-8"?>
<worksheet xmlns="http://schemas.openxmlformats.org/spreadsheetml/2006/main" xmlns:r="http://schemas.openxmlformats.org/officeDocument/2006/relationships">
  <dimension ref="A1:K35"/>
  <sheetViews>
    <sheetView view="pageBreakPreview" topLeftCell="A8" zoomScaleNormal="100" zoomScaleSheetLayoutView="100" workbookViewId="0">
      <selection activeCell="C17" sqref="C17"/>
    </sheetView>
  </sheetViews>
  <sheetFormatPr defaultRowHeight="15"/>
  <cols>
    <col min="1" max="1" width="4.85546875" customWidth="1"/>
    <col min="2" max="2" width="30.28515625" customWidth="1"/>
    <col min="3" max="3" width="13.140625" customWidth="1"/>
    <col min="4" max="4" width="12.85546875" customWidth="1"/>
    <col min="5" max="5" width="20.140625" customWidth="1"/>
    <col min="6" max="6" width="12.140625" customWidth="1"/>
    <col min="7" max="7" width="12.5703125" customWidth="1"/>
    <col min="8" max="8" width="10.5703125" bestFit="1" customWidth="1"/>
    <col min="9" max="9" width="12.140625" bestFit="1" customWidth="1"/>
  </cols>
  <sheetData>
    <row r="1" spans="1:11" ht="21">
      <c r="A1" s="1" t="s">
        <v>0</v>
      </c>
      <c r="G1" s="2" t="s">
        <v>266</v>
      </c>
      <c r="K1" s="3"/>
    </row>
    <row r="2" spans="1:11">
      <c r="A2" s="95"/>
      <c r="B2" s="95"/>
      <c r="C2" s="95"/>
      <c r="E2" s="95"/>
      <c r="F2" s="95"/>
      <c r="G2" s="95"/>
      <c r="I2" s="95"/>
      <c r="J2" s="95"/>
      <c r="K2" s="95"/>
    </row>
    <row r="3" spans="1:11" ht="15.75">
      <c r="A3" s="4" t="s">
        <v>295</v>
      </c>
      <c r="B3" s="21"/>
      <c r="C3" s="95"/>
      <c r="E3" s="85"/>
      <c r="F3" s="86" t="s">
        <v>2</v>
      </c>
      <c r="G3" s="86" t="s">
        <v>3</v>
      </c>
      <c r="I3" s="95"/>
      <c r="J3" s="95"/>
      <c r="K3" s="95"/>
    </row>
    <row r="4" spans="1:11" ht="15.75">
      <c r="A4" s="4" t="s">
        <v>21</v>
      </c>
      <c r="B4" s="21"/>
      <c r="C4" s="95"/>
      <c r="E4" s="85" t="s">
        <v>5</v>
      </c>
      <c r="F4" s="85"/>
      <c r="G4" s="85"/>
      <c r="I4" s="95"/>
      <c r="J4" s="95"/>
      <c r="K4" s="95"/>
    </row>
    <row r="5" spans="1:11">
      <c r="A5" s="7"/>
      <c r="B5" s="95"/>
      <c r="C5" s="95"/>
      <c r="E5" s="85" t="s">
        <v>6</v>
      </c>
      <c r="F5" s="85"/>
      <c r="G5" s="85"/>
      <c r="I5" s="95"/>
      <c r="J5" s="95"/>
      <c r="K5" s="95"/>
    </row>
    <row r="6" spans="1:11">
      <c r="A6" s="7"/>
      <c r="B6" s="95"/>
      <c r="C6" s="95"/>
      <c r="D6" s="95"/>
      <c r="E6" s="115"/>
      <c r="F6" s="115"/>
      <c r="G6" s="95"/>
      <c r="I6" s="95"/>
      <c r="J6" s="95"/>
      <c r="K6" s="95"/>
    </row>
    <row r="7" spans="1:11" ht="15.75">
      <c r="A7" s="4" t="s">
        <v>264</v>
      </c>
      <c r="B7" s="95"/>
      <c r="C7" s="95"/>
      <c r="D7" s="95"/>
      <c r="E7" s="95"/>
      <c r="F7" s="95"/>
      <c r="G7" s="95"/>
      <c r="H7" s="95"/>
      <c r="I7" s="95"/>
      <c r="J7" s="95"/>
      <c r="K7" s="95"/>
    </row>
    <row r="8" spans="1:11">
      <c r="A8" s="7"/>
      <c r="B8" s="95"/>
      <c r="C8" s="95"/>
      <c r="D8" s="95"/>
      <c r="E8" s="95"/>
      <c r="F8" s="95"/>
      <c r="G8" s="95"/>
      <c r="H8" s="95"/>
      <c r="I8" s="95"/>
      <c r="J8" s="95"/>
      <c r="K8" s="95"/>
    </row>
    <row r="9" spans="1:11">
      <c r="A9" s="7"/>
      <c r="B9" s="95"/>
      <c r="C9" s="95"/>
      <c r="D9" s="95"/>
      <c r="E9" s="95"/>
      <c r="F9" s="95"/>
      <c r="G9" s="95"/>
      <c r="H9" s="95"/>
      <c r="I9" s="95"/>
      <c r="J9" s="95"/>
      <c r="K9" s="95"/>
    </row>
    <row r="10" spans="1:11">
      <c r="A10" s="7"/>
      <c r="B10" s="95"/>
      <c r="C10" s="95"/>
      <c r="D10" s="95"/>
      <c r="E10" s="95"/>
      <c r="F10" s="95"/>
      <c r="G10" s="95"/>
      <c r="H10" s="95"/>
      <c r="I10" s="95"/>
      <c r="J10" s="95"/>
      <c r="K10" s="95"/>
    </row>
    <row r="11" spans="1:11">
      <c r="A11" s="7"/>
      <c r="B11" s="95"/>
      <c r="C11" s="95"/>
      <c r="D11" s="95"/>
      <c r="E11" s="95"/>
      <c r="F11" s="95"/>
      <c r="G11" s="95"/>
      <c r="H11" s="95"/>
      <c r="I11" s="95"/>
      <c r="J11" s="95"/>
      <c r="K11" s="95"/>
    </row>
    <row r="12" spans="1:11">
      <c r="A12" s="7"/>
      <c r="B12" s="95"/>
      <c r="C12" s="95"/>
      <c r="D12" s="95"/>
      <c r="E12" s="95"/>
      <c r="F12" s="95"/>
      <c r="G12" s="95"/>
      <c r="H12" s="95"/>
      <c r="I12" s="95"/>
      <c r="J12" s="95"/>
      <c r="K12" s="95"/>
    </row>
    <row r="13" spans="1:11">
      <c r="A13" s="7"/>
      <c r="B13" s="95"/>
      <c r="C13" s="95"/>
      <c r="D13" s="95"/>
      <c r="E13" s="95"/>
      <c r="F13" s="95"/>
      <c r="G13" s="95"/>
      <c r="H13" s="95"/>
      <c r="I13" s="95"/>
      <c r="J13" s="95"/>
      <c r="K13" s="95"/>
    </row>
    <row r="14" spans="1:11">
      <c r="A14" s="23"/>
      <c r="B14" s="95"/>
      <c r="C14" s="95"/>
      <c r="D14" s="95"/>
      <c r="E14" s="95"/>
      <c r="F14" s="95"/>
      <c r="G14" s="95"/>
      <c r="H14" s="95"/>
      <c r="I14" s="95"/>
      <c r="J14" s="95"/>
      <c r="K14" s="95"/>
    </row>
    <row r="15" spans="1:11">
      <c r="A15" s="23"/>
      <c r="B15" s="95"/>
      <c r="C15" s="95"/>
      <c r="D15" s="95"/>
      <c r="E15" s="95"/>
      <c r="F15" s="95"/>
      <c r="G15" s="95"/>
      <c r="H15" s="95"/>
      <c r="I15" s="95"/>
      <c r="J15" s="95"/>
      <c r="K15" s="95"/>
    </row>
    <row r="16" spans="1:11">
      <c r="A16" s="23"/>
      <c r="B16" s="95"/>
      <c r="C16" s="95"/>
      <c r="D16" s="95"/>
      <c r="E16" s="95"/>
      <c r="F16" s="95"/>
      <c r="G16" s="95"/>
      <c r="H16" s="95"/>
      <c r="I16" s="95"/>
      <c r="J16" s="95"/>
      <c r="K16" s="95"/>
    </row>
    <row r="17" spans="1:11">
      <c r="A17" s="23"/>
      <c r="B17" s="95"/>
      <c r="C17" s="95"/>
      <c r="D17" s="95"/>
      <c r="E17" s="95"/>
      <c r="F17" s="95"/>
      <c r="G17" s="95"/>
      <c r="H17" s="95"/>
      <c r="I17" s="95"/>
      <c r="J17" s="95"/>
      <c r="K17" s="95"/>
    </row>
    <row r="18" spans="1:11">
      <c r="A18" s="23"/>
      <c r="B18" s="95"/>
      <c r="C18" s="95"/>
      <c r="D18" s="95"/>
      <c r="E18" s="95"/>
      <c r="F18" s="95"/>
      <c r="G18" s="95"/>
      <c r="H18" s="95"/>
      <c r="I18" s="95"/>
      <c r="J18" s="95"/>
      <c r="K18" s="95"/>
    </row>
    <row r="19" spans="1:11">
      <c r="A19" s="23"/>
      <c r="B19" s="95"/>
      <c r="C19" s="95"/>
      <c r="D19" s="95"/>
      <c r="E19" s="95"/>
      <c r="F19" s="95"/>
      <c r="G19" s="95"/>
      <c r="H19" s="95"/>
      <c r="I19" s="95"/>
      <c r="J19" s="95"/>
      <c r="K19" s="95"/>
    </row>
    <row r="20" spans="1:11">
      <c r="A20" s="23"/>
      <c r="B20" s="95"/>
      <c r="C20" s="95"/>
      <c r="D20" s="95"/>
      <c r="E20" s="95"/>
      <c r="F20" s="95"/>
      <c r="G20" s="95"/>
      <c r="H20" s="95"/>
      <c r="I20" s="95"/>
      <c r="J20" s="95"/>
      <c r="K20" s="95"/>
    </row>
    <row r="21" spans="1:11">
      <c r="A21" s="9" t="s">
        <v>92</v>
      </c>
      <c r="B21" s="95"/>
      <c r="C21" s="95"/>
      <c r="D21" s="95"/>
      <c r="E21" s="95"/>
      <c r="F21" s="2" t="s">
        <v>359</v>
      </c>
      <c r="G21" s="561" t="s">
        <v>353</v>
      </c>
      <c r="I21" s="95"/>
      <c r="J21" s="95"/>
      <c r="K21" s="95"/>
    </row>
    <row r="22" spans="1:11">
      <c r="A22" s="9"/>
      <c r="B22" s="95"/>
      <c r="C22" s="95"/>
      <c r="D22" s="95"/>
      <c r="E22" s="95"/>
      <c r="F22" s="95"/>
      <c r="G22" s="95"/>
      <c r="I22" s="95"/>
      <c r="J22" s="95"/>
      <c r="K22" s="95"/>
    </row>
    <row r="23" spans="1:11">
      <c r="A23" s="116">
        <v>1.1000000000000001</v>
      </c>
      <c r="B23" s="188" t="s">
        <v>332</v>
      </c>
      <c r="C23" s="138"/>
      <c r="D23" s="138"/>
      <c r="E23" s="138"/>
      <c r="F23" s="231" t="s">
        <v>24</v>
      </c>
      <c r="G23" s="231" t="s">
        <v>24</v>
      </c>
      <c r="I23" s="95"/>
      <c r="J23" s="95"/>
      <c r="K23" s="95"/>
    </row>
    <row r="24" spans="1:11">
      <c r="A24" s="116"/>
      <c r="B24" s="188" t="s">
        <v>267</v>
      </c>
      <c r="C24" s="2"/>
      <c r="D24" s="2"/>
      <c r="E24" s="2"/>
      <c r="F24" s="95"/>
      <c r="G24" s="95"/>
      <c r="I24" s="95"/>
      <c r="J24" s="95"/>
      <c r="K24" s="95"/>
    </row>
    <row r="25" spans="1:11">
      <c r="A25" s="116"/>
      <c r="B25" s="188" t="s">
        <v>333</v>
      </c>
      <c r="C25" s="188"/>
      <c r="D25" s="188"/>
      <c r="E25" s="188"/>
      <c r="F25" s="95"/>
      <c r="G25" s="95"/>
      <c r="I25" s="95"/>
      <c r="J25" s="95"/>
      <c r="K25" s="95"/>
    </row>
    <row r="26" spans="1:11" s="23" customFormat="1" ht="12.75">
      <c r="A26" s="9"/>
      <c r="B26" s="243" t="s">
        <v>294</v>
      </c>
      <c r="F26" s="2"/>
    </row>
    <row r="27" spans="1:11">
      <c r="A27" s="95"/>
      <c r="B27" s="95"/>
      <c r="C27" s="95"/>
      <c r="D27" s="95"/>
      <c r="E27" s="95"/>
      <c r="F27" s="95"/>
      <c r="G27" s="95"/>
      <c r="H27" s="95"/>
      <c r="I27" s="95"/>
      <c r="J27" s="95"/>
      <c r="K27" s="95"/>
    </row>
    <row r="28" spans="1:11">
      <c r="A28" s="9" t="s">
        <v>8</v>
      </c>
      <c r="B28" s="95"/>
      <c r="C28" s="95"/>
      <c r="D28" s="95"/>
      <c r="E28" s="95"/>
      <c r="F28" s="95"/>
      <c r="G28" s="95"/>
      <c r="H28" s="95"/>
      <c r="I28" s="95"/>
      <c r="J28" s="95"/>
      <c r="K28" s="95"/>
    </row>
    <row r="29" spans="1:11">
      <c r="A29" s="9"/>
      <c r="B29" s="95"/>
      <c r="C29" s="95"/>
      <c r="D29" s="95"/>
      <c r="E29" s="95"/>
      <c r="F29" s="95"/>
      <c r="G29" s="95"/>
      <c r="H29" s="95"/>
      <c r="I29" s="95"/>
      <c r="J29" s="95"/>
      <c r="K29" s="95"/>
    </row>
    <row r="30" spans="1:11">
      <c r="A30" s="13" t="s">
        <v>9</v>
      </c>
      <c r="B30" s="13" t="s">
        <v>10</v>
      </c>
      <c r="C30" s="13" t="s">
        <v>11</v>
      </c>
      <c r="D30" s="14" t="s">
        <v>12</v>
      </c>
      <c r="E30" s="183" t="s">
        <v>13</v>
      </c>
      <c r="F30" s="169"/>
      <c r="G30" s="95"/>
      <c r="H30" s="95"/>
      <c r="I30" s="95"/>
      <c r="J30" s="95"/>
      <c r="K30" s="95"/>
    </row>
    <row r="31" spans="1:11" ht="39">
      <c r="A31" s="102">
        <v>1</v>
      </c>
      <c r="B31" s="118" t="s">
        <v>184</v>
      </c>
      <c r="C31" s="144">
        <v>0</v>
      </c>
      <c r="D31" s="120"/>
      <c r="E31" s="237"/>
      <c r="F31" s="239"/>
      <c r="G31" s="95"/>
      <c r="H31" s="95"/>
      <c r="I31" s="95"/>
      <c r="J31" s="95"/>
      <c r="K31" s="95"/>
    </row>
    <row r="32" spans="1:11">
      <c r="A32" s="86"/>
      <c r="B32" s="137" t="s">
        <v>14</v>
      </c>
      <c r="C32" s="15">
        <f>SUM(C31:C31)</f>
        <v>0</v>
      </c>
      <c r="D32" s="16"/>
      <c r="E32" s="238"/>
      <c r="F32" s="239"/>
      <c r="G32" s="95"/>
      <c r="H32" s="95"/>
      <c r="I32" s="95"/>
      <c r="J32" s="95"/>
      <c r="K32" s="95"/>
    </row>
    <row r="33" spans="1:11">
      <c r="A33" s="114"/>
      <c r="B33" s="18"/>
      <c r="C33" s="19"/>
      <c r="D33" s="19"/>
      <c r="E33" s="19"/>
      <c r="F33" s="115"/>
      <c r="G33" s="95"/>
      <c r="H33" s="95"/>
      <c r="I33" s="95"/>
      <c r="J33" s="95"/>
      <c r="K33" s="95"/>
    </row>
    <row r="34" spans="1:11">
      <c r="A34" s="9" t="s">
        <v>15</v>
      </c>
      <c r="B34" s="95"/>
      <c r="C34" s="95"/>
      <c r="D34" s="95"/>
      <c r="E34" s="95"/>
      <c r="F34" s="95"/>
      <c r="G34" s="95"/>
      <c r="H34" s="95"/>
      <c r="I34" s="95"/>
      <c r="J34" s="95"/>
      <c r="K34" s="95"/>
    </row>
    <row r="35" spans="1:11">
      <c r="A35" s="188" t="s">
        <v>334</v>
      </c>
      <c r="B35" s="18"/>
      <c r="C35" s="18"/>
      <c r="D35" s="18"/>
      <c r="E35" s="18"/>
      <c r="F35" s="18"/>
      <c r="G35" s="95"/>
      <c r="H35" s="95"/>
      <c r="I35" s="95"/>
      <c r="J35" s="95"/>
      <c r="K35" s="95"/>
    </row>
  </sheetData>
  <pageMargins left="0.63" right="0.55000000000000004" top="0.75" bottom="0.75" header="0.3" footer="0.3"/>
  <pageSetup paperSize="9" scale="85" orientation="portrait" r:id="rId1"/>
  <drawing r:id="rId2"/>
</worksheet>
</file>

<file path=xl/worksheets/sheet36.xml><?xml version="1.0" encoding="utf-8"?>
<worksheet xmlns="http://schemas.openxmlformats.org/spreadsheetml/2006/main" xmlns:r="http://schemas.openxmlformats.org/officeDocument/2006/relationships">
  <dimension ref="A1:K67"/>
  <sheetViews>
    <sheetView view="pageBreakPreview" zoomScaleNormal="100" zoomScaleSheetLayoutView="100" workbookViewId="0">
      <selection activeCell="A7" sqref="A7"/>
    </sheetView>
  </sheetViews>
  <sheetFormatPr defaultRowHeight="15"/>
  <cols>
    <col min="1" max="1" width="6.42578125" customWidth="1"/>
    <col min="2" max="2" width="55" customWidth="1"/>
    <col min="3" max="3" width="13" customWidth="1"/>
    <col min="4" max="4" width="15.42578125" customWidth="1"/>
    <col min="5" max="5" width="13.140625" customWidth="1"/>
    <col min="6" max="6" width="14.140625" customWidth="1"/>
    <col min="7" max="7" width="11.85546875" customWidth="1"/>
    <col min="8" max="8" width="10.5703125" bestFit="1" customWidth="1"/>
    <col min="9" max="9" width="12.140625" bestFit="1" customWidth="1"/>
  </cols>
  <sheetData>
    <row r="1" spans="1:11" ht="21">
      <c r="A1" s="1" t="s">
        <v>0</v>
      </c>
      <c r="H1" s="2" t="s">
        <v>559</v>
      </c>
      <c r="K1" s="3"/>
    </row>
    <row r="2" spans="1:11">
      <c r="A2" s="95"/>
      <c r="B2" s="95"/>
      <c r="C2" s="95"/>
      <c r="F2" s="95"/>
      <c r="G2" s="95"/>
      <c r="H2" s="95"/>
      <c r="I2" s="95"/>
      <c r="J2" s="95"/>
      <c r="K2" s="95"/>
    </row>
    <row r="3" spans="1:11" ht="15.75">
      <c r="A3" s="4" t="s">
        <v>295</v>
      </c>
      <c r="B3" s="95"/>
      <c r="C3" s="95"/>
      <c r="F3" s="85"/>
      <c r="G3" s="86" t="s">
        <v>2</v>
      </c>
      <c r="H3" s="86" t="s">
        <v>3</v>
      </c>
      <c r="I3" s="95"/>
      <c r="J3" s="95"/>
      <c r="K3" s="95"/>
    </row>
    <row r="4" spans="1:11" ht="15.75">
      <c r="A4" s="4" t="s">
        <v>21</v>
      </c>
      <c r="B4" s="95"/>
      <c r="C4" s="95"/>
      <c r="F4" s="85" t="s">
        <v>5</v>
      </c>
      <c r="G4" s="85"/>
      <c r="H4" s="85"/>
      <c r="I4" s="95"/>
      <c r="J4" s="95"/>
      <c r="K4" s="95"/>
    </row>
    <row r="5" spans="1:11">
      <c r="A5" s="7"/>
      <c r="B5" s="95"/>
      <c r="C5" s="95"/>
      <c r="F5" s="85" t="s">
        <v>6</v>
      </c>
      <c r="G5" s="85"/>
      <c r="H5" s="85"/>
      <c r="I5" s="95"/>
      <c r="J5" s="95"/>
      <c r="K5" s="95"/>
    </row>
    <row r="6" spans="1:11">
      <c r="A6" s="7"/>
      <c r="B6" s="95"/>
      <c r="C6" s="95"/>
      <c r="D6" s="115"/>
      <c r="E6" s="115"/>
      <c r="F6" s="115"/>
      <c r="G6" s="95"/>
      <c r="H6" s="95"/>
      <c r="I6" s="95"/>
      <c r="J6" s="95"/>
      <c r="K6" s="95"/>
    </row>
    <row r="7" spans="1:11" ht="15.75">
      <c r="A7" s="4" t="s">
        <v>268</v>
      </c>
      <c r="B7" s="95"/>
      <c r="C7" s="95"/>
      <c r="D7" s="95"/>
      <c r="E7" s="95"/>
      <c r="F7" s="95"/>
      <c r="G7" s="95"/>
      <c r="H7" s="95"/>
      <c r="I7" s="95"/>
      <c r="J7" s="95"/>
      <c r="K7" s="95"/>
    </row>
    <row r="8" spans="1:11">
      <c r="A8" s="7"/>
      <c r="B8" s="95"/>
      <c r="C8" s="95"/>
      <c r="D8" s="95"/>
      <c r="E8" s="95"/>
      <c r="F8" s="95"/>
      <c r="G8" s="95"/>
      <c r="H8" s="95"/>
      <c r="I8" s="95"/>
      <c r="J8" s="95"/>
      <c r="K8" s="95"/>
    </row>
    <row r="9" spans="1:11">
      <c r="A9" s="95"/>
      <c r="B9" s="34"/>
      <c r="C9" s="95"/>
      <c r="D9" s="95"/>
      <c r="E9" s="95"/>
      <c r="F9" s="95"/>
      <c r="G9" s="95"/>
      <c r="H9" s="95"/>
      <c r="I9" s="95"/>
      <c r="J9" s="95"/>
      <c r="K9" s="95"/>
    </row>
    <row r="10" spans="1:11">
      <c r="A10" s="7"/>
      <c r="B10" s="95"/>
      <c r="C10" s="95"/>
      <c r="D10" s="95"/>
      <c r="E10" s="95"/>
      <c r="F10" s="95"/>
      <c r="G10" s="95"/>
      <c r="H10" s="95"/>
      <c r="I10" s="95"/>
      <c r="J10" s="95"/>
      <c r="K10" s="95"/>
    </row>
    <row r="11" spans="1:11">
      <c r="A11" s="7"/>
      <c r="B11" s="95"/>
      <c r="C11" s="95"/>
      <c r="D11" s="95"/>
      <c r="E11" s="95"/>
      <c r="F11" s="95"/>
      <c r="G11" s="95"/>
      <c r="H11" s="95"/>
      <c r="I11" s="95"/>
      <c r="J11" s="95"/>
      <c r="K11" s="95"/>
    </row>
    <row r="12" spans="1:11">
      <c r="A12" s="7"/>
      <c r="B12" s="95"/>
      <c r="C12" s="95"/>
      <c r="D12" s="95"/>
      <c r="E12" s="95"/>
      <c r="F12" s="95"/>
      <c r="G12" s="95"/>
      <c r="H12" s="95"/>
      <c r="I12" s="95"/>
      <c r="J12" s="95"/>
      <c r="K12" s="95"/>
    </row>
    <row r="13" spans="1:11">
      <c r="A13" s="7"/>
      <c r="B13" s="95"/>
      <c r="C13" s="95"/>
      <c r="D13" s="95"/>
      <c r="E13" s="95"/>
      <c r="F13" s="95"/>
      <c r="G13" s="95"/>
      <c r="H13" s="95"/>
      <c r="I13" s="95"/>
      <c r="J13" s="95"/>
      <c r="K13" s="95"/>
    </row>
    <row r="14" spans="1:11">
      <c r="A14" s="7"/>
      <c r="B14" s="95"/>
      <c r="C14" s="95"/>
      <c r="D14" s="95"/>
      <c r="E14" s="95"/>
      <c r="F14" s="95"/>
      <c r="G14" s="95"/>
      <c r="H14" s="95"/>
      <c r="I14" s="95"/>
      <c r="J14" s="95"/>
      <c r="K14" s="95"/>
    </row>
    <row r="15" spans="1:11">
      <c r="A15" s="7"/>
      <c r="B15" s="95"/>
      <c r="C15" s="95"/>
      <c r="D15" s="95"/>
      <c r="E15" s="95"/>
      <c r="F15" s="95"/>
      <c r="G15" s="95"/>
      <c r="H15" s="95"/>
      <c r="I15" s="95"/>
      <c r="J15" s="95"/>
      <c r="K15" s="95"/>
    </row>
    <row r="16" spans="1:11">
      <c r="A16" s="95"/>
      <c r="B16" s="34" t="s">
        <v>22</v>
      </c>
      <c r="C16" s="95"/>
      <c r="D16" s="95"/>
      <c r="E16" s="95"/>
      <c r="F16" s="95"/>
      <c r="G16" s="95"/>
      <c r="H16" s="95"/>
      <c r="I16" s="95"/>
      <c r="J16" s="95"/>
      <c r="K16" s="95"/>
    </row>
    <row r="17" spans="1:11">
      <c r="A17" s="7"/>
      <c r="B17" s="95"/>
      <c r="C17" s="95"/>
      <c r="D17" s="95"/>
      <c r="E17" s="95"/>
      <c r="F17" s="95"/>
      <c r="G17" s="95"/>
      <c r="H17" s="95"/>
      <c r="I17" s="95"/>
      <c r="J17" s="95"/>
      <c r="K17" s="95"/>
    </row>
    <row r="18" spans="1:11">
      <c r="A18" s="7"/>
      <c r="B18" s="95"/>
      <c r="C18" s="95"/>
      <c r="D18" s="95"/>
      <c r="E18" s="95"/>
      <c r="F18" s="95"/>
      <c r="G18" s="95"/>
      <c r="H18" s="95"/>
      <c r="I18" s="95"/>
      <c r="J18" s="95"/>
      <c r="K18" s="95"/>
    </row>
    <row r="19" spans="1:11">
      <c r="A19" s="7"/>
      <c r="B19" s="95"/>
      <c r="C19" s="95"/>
      <c r="D19" s="95"/>
      <c r="E19" s="95"/>
      <c r="F19" s="95"/>
      <c r="G19" s="95"/>
      <c r="H19" s="95"/>
      <c r="I19" s="95"/>
      <c r="J19" s="95"/>
      <c r="K19" s="95"/>
    </row>
    <row r="20" spans="1:11">
      <c r="A20" s="7"/>
      <c r="B20" s="95"/>
      <c r="C20" s="95"/>
      <c r="D20" s="95"/>
      <c r="E20" s="95"/>
      <c r="F20" s="95"/>
      <c r="G20" s="95"/>
      <c r="H20" s="95"/>
      <c r="I20" s="95"/>
      <c r="J20" s="95"/>
      <c r="K20" s="95"/>
    </row>
    <row r="21" spans="1:11">
      <c r="A21" s="7"/>
      <c r="B21" s="95"/>
      <c r="C21" s="95"/>
      <c r="D21" s="95"/>
      <c r="E21" s="95"/>
      <c r="F21" s="95"/>
      <c r="G21" s="95"/>
      <c r="H21" s="95"/>
      <c r="I21" s="95"/>
      <c r="J21" s="95"/>
      <c r="K21" s="95"/>
    </row>
    <row r="22" spans="1:11">
      <c r="A22" s="95"/>
      <c r="B22" s="95"/>
      <c r="C22" s="95"/>
      <c r="D22" s="95"/>
      <c r="E22" s="95"/>
      <c r="F22" s="95"/>
      <c r="G22" s="95"/>
      <c r="H22" s="95"/>
      <c r="I22" s="95"/>
      <c r="J22" s="95"/>
      <c r="K22" s="95"/>
    </row>
    <row r="23" spans="1:11">
      <c r="A23" s="9" t="s">
        <v>92</v>
      </c>
      <c r="B23" s="95"/>
      <c r="C23" s="95"/>
      <c r="D23" s="95"/>
      <c r="E23" s="95"/>
      <c r="F23" s="95"/>
      <c r="G23" s="2" t="s">
        <v>359</v>
      </c>
      <c r="H23" s="561" t="s">
        <v>353</v>
      </c>
      <c r="I23" s="95"/>
      <c r="J23" s="95"/>
      <c r="K23" s="95"/>
    </row>
    <row r="24" spans="1:11">
      <c r="A24" s="10"/>
      <c r="B24" s="95"/>
      <c r="C24" s="95"/>
      <c r="D24" s="95"/>
      <c r="E24" s="95"/>
      <c r="F24" s="95"/>
      <c r="G24" s="95"/>
      <c r="H24" s="95"/>
      <c r="I24" s="95"/>
      <c r="J24" s="95"/>
      <c r="K24" s="95"/>
    </row>
    <row r="25" spans="1:11">
      <c r="A25" s="116">
        <v>1.1000000000000001</v>
      </c>
      <c r="B25" s="188" t="s">
        <v>335</v>
      </c>
      <c r="C25" s="138"/>
      <c r="D25" s="138"/>
      <c r="E25" s="138"/>
      <c r="F25" s="136"/>
      <c r="G25" s="231" t="s">
        <v>24</v>
      </c>
      <c r="H25" s="231" t="s">
        <v>24</v>
      </c>
      <c r="I25" s="95"/>
      <c r="J25" s="95"/>
      <c r="K25" s="95"/>
    </row>
    <row r="26" spans="1:11">
      <c r="B26" s="188" t="s">
        <v>336</v>
      </c>
      <c r="C26" s="95"/>
      <c r="D26" s="95"/>
      <c r="E26" s="95"/>
      <c r="F26" s="95"/>
      <c r="G26" s="95"/>
      <c r="H26" s="95"/>
      <c r="I26" s="95"/>
      <c r="J26" s="95"/>
      <c r="K26" s="95"/>
    </row>
    <row r="27" spans="1:11">
      <c r="A27" s="188"/>
      <c r="B27" s="95" t="s">
        <v>337</v>
      </c>
      <c r="C27" s="95"/>
      <c r="D27" s="95"/>
      <c r="E27" s="95"/>
      <c r="F27" s="95"/>
      <c r="G27" s="95"/>
      <c r="H27" s="95"/>
      <c r="I27" s="95"/>
      <c r="J27" s="95"/>
      <c r="K27" s="95"/>
    </row>
    <row r="28" spans="1:11">
      <c r="A28" s="188"/>
      <c r="B28" s="95"/>
      <c r="C28" s="95"/>
      <c r="D28" s="95"/>
      <c r="E28" s="95"/>
      <c r="F28" s="95"/>
      <c r="G28" s="95"/>
      <c r="H28" s="95"/>
      <c r="I28" s="95"/>
      <c r="J28" s="95"/>
      <c r="K28" s="95"/>
    </row>
    <row r="29" spans="1:11">
      <c r="A29" s="116">
        <v>1.2</v>
      </c>
      <c r="B29" s="95" t="s">
        <v>338</v>
      </c>
      <c r="C29" s="95"/>
      <c r="D29" s="95"/>
      <c r="E29" s="95"/>
      <c r="F29" s="95"/>
      <c r="G29" s="231" t="s">
        <v>24</v>
      </c>
      <c r="H29" s="231" t="s">
        <v>24</v>
      </c>
      <c r="I29" s="95"/>
      <c r="J29" s="95"/>
      <c r="K29" s="95"/>
    </row>
    <row r="30" spans="1:11">
      <c r="A30" s="188"/>
      <c r="B30" s="95" t="s">
        <v>649</v>
      </c>
      <c r="C30" s="95"/>
      <c r="D30" s="95"/>
      <c r="E30" s="95"/>
      <c r="F30" s="95"/>
      <c r="G30" s="95"/>
      <c r="H30" s="95"/>
      <c r="I30" s="95"/>
      <c r="J30" s="95"/>
      <c r="K30" s="95"/>
    </row>
    <row r="31" spans="1:11">
      <c r="A31" s="139"/>
      <c r="B31" s="675"/>
      <c r="C31" s="675"/>
      <c r="D31" s="675"/>
      <c r="E31" s="675"/>
      <c r="F31" s="140"/>
      <c r="G31" s="95"/>
      <c r="H31" s="95"/>
      <c r="I31" s="95"/>
      <c r="J31" s="95"/>
      <c r="K31" s="95"/>
    </row>
    <row r="32" spans="1:11">
      <c r="A32" s="116">
        <v>1.3</v>
      </c>
      <c r="B32" s="95" t="s">
        <v>339</v>
      </c>
      <c r="C32" s="187"/>
      <c r="D32" s="187"/>
      <c r="E32" s="187"/>
      <c r="F32" s="140"/>
      <c r="G32" s="231" t="s">
        <v>24</v>
      </c>
      <c r="H32" s="231" t="s">
        <v>24</v>
      </c>
      <c r="I32" s="95"/>
      <c r="J32" s="95"/>
      <c r="K32" s="95"/>
    </row>
    <row r="33" spans="1:11">
      <c r="A33" s="139"/>
      <c r="B33" s="95" t="s">
        <v>340</v>
      </c>
      <c r="C33" s="187"/>
      <c r="D33" s="187"/>
      <c r="E33" s="187"/>
      <c r="F33" s="140"/>
      <c r="G33" s="95"/>
      <c r="H33" s="95"/>
      <c r="I33" s="95"/>
      <c r="J33" s="95"/>
      <c r="K33" s="95"/>
    </row>
    <row r="34" spans="1:11">
      <c r="A34" s="139"/>
      <c r="B34" s="95" t="s">
        <v>341</v>
      </c>
      <c r="C34" s="187"/>
      <c r="D34" s="187"/>
      <c r="E34" s="187"/>
      <c r="F34" s="140"/>
      <c r="G34" s="95"/>
      <c r="H34" s="95"/>
      <c r="I34" s="95"/>
      <c r="J34" s="95"/>
      <c r="K34" s="95"/>
    </row>
    <row r="35" spans="1:11">
      <c r="A35" s="139"/>
      <c r="B35" s="187"/>
      <c r="C35" s="187"/>
      <c r="D35" s="187"/>
      <c r="E35" s="187"/>
      <c r="F35" s="140"/>
      <c r="G35" s="95"/>
      <c r="H35" s="95"/>
      <c r="I35" s="95"/>
      <c r="J35" s="95"/>
      <c r="K35" s="95"/>
    </row>
    <row r="36" spans="1:11" ht="15" customHeight="1">
      <c r="A36" s="116">
        <v>1.4</v>
      </c>
      <c r="B36" s="162" t="s">
        <v>342</v>
      </c>
      <c r="C36" s="95"/>
      <c r="D36" s="95"/>
      <c r="E36" s="95"/>
      <c r="F36" s="140"/>
      <c r="G36" s="231" t="s">
        <v>24</v>
      </c>
      <c r="H36" s="231" t="s">
        <v>24</v>
      </c>
      <c r="I36" s="95"/>
      <c r="J36" s="95"/>
      <c r="K36" s="95"/>
    </row>
    <row r="37" spans="1:11">
      <c r="A37" s="95"/>
      <c r="B37" s="95" t="s">
        <v>343</v>
      </c>
      <c r="C37" s="95"/>
      <c r="D37" s="95"/>
      <c r="E37" s="95"/>
      <c r="F37" s="95"/>
      <c r="G37" s="95"/>
      <c r="H37" s="95"/>
      <c r="I37" s="95"/>
      <c r="J37" s="95"/>
      <c r="K37" s="95"/>
    </row>
    <row r="38" spans="1:11">
      <c r="A38" s="95"/>
      <c r="B38" s="95"/>
      <c r="C38" s="95"/>
      <c r="D38" s="95"/>
      <c r="E38" s="95"/>
      <c r="F38" s="95"/>
      <c r="G38" s="95"/>
      <c r="H38" s="95"/>
      <c r="I38" s="95"/>
      <c r="J38" s="95"/>
      <c r="K38" s="95"/>
    </row>
    <row r="39" spans="1:11">
      <c r="A39" s="9" t="s">
        <v>8</v>
      </c>
      <c r="B39" s="95"/>
      <c r="C39" s="95"/>
      <c r="D39" s="95"/>
      <c r="E39" s="95"/>
      <c r="F39" s="95"/>
      <c r="G39" s="95"/>
      <c r="H39" s="95"/>
      <c r="I39" s="95"/>
      <c r="J39" s="95"/>
      <c r="K39" s="95"/>
    </row>
    <row r="40" spans="1:11">
      <c r="A40" s="105"/>
      <c r="B40" s="95"/>
      <c r="C40" s="95"/>
      <c r="D40" s="95"/>
      <c r="E40" s="95"/>
      <c r="F40" s="95"/>
      <c r="G40" s="95"/>
      <c r="H40" s="95"/>
      <c r="I40" s="95"/>
      <c r="J40" s="95"/>
      <c r="K40" s="95"/>
    </row>
    <row r="41" spans="1:11">
      <c r="A41" s="13" t="s">
        <v>9</v>
      </c>
      <c r="B41" s="13" t="s">
        <v>10</v>
      </c>
      <c r="C41" s="13" t="s">
        <v>11</v>
      </c>
      <c r="D41" s="14" t="s">
        <v>12</v>
      </c>
      <c r="E41" s="676" t="s">
        <v>13</v>
      </c>
      <c r="F41" s="677"/>
      <c r="G41" s="95"/>
      <c r="H41" s="95"/>
      <c r="I41" s="95"/>
      <c r="J41" s="95"/>
      <c r="K41" s="95"/>
    </row>
    <row r="42" spans="1:11" ht="26.25">
      <c r="A42" s="234">
        <v>1</v>
      </c>
      <c r="B42" s="126" t="s">
        <v>657</v>
      </c>
      <c r="C42" s="125">
        <v>0</v>
      </c>
      <c r="D42" s="124"/>
      <c r="E42" s="678"/>
      <c r="F42" s="679"/>
      <c r="G42" s="95"/>
      <c r="H42" s="95"/>
      <c r="I42" s="95"/>
      <c r="J42" s="95"/>
      <c r="K42" s="95"/>
    </row>
    <row r="43" spans="1:11">
      <c r="A43" s="235">
        <v>2</v>
      </c>
      <c r="B43" s="107" t="s">
        <v>344</v>
      </c>
      <c r="C43" s="108">
        <v>0</v>
      </c>
      <c r="D43" s="109"/>
      <c r="E43" s="669"/>
      <c r="F43" s="670"/>
      <c r="G43" s="95"/>
      <c r="H43" s="95"/>
      <c r="I43" s="95"/>
      <c r="J43" s="95"/>
      <c r="K43" s="95"/>
    </row>
    <row r="44" spans="1:11">
      <c r="A44" s="236"/>
      <c r="B44" s="111" t="s">
        <v>183</v>
      </c>
      <c r="C44" s="112"/>
      <c r="D44" s="113"/>
      <c r="E44" s="232"/>
      <c r="F44" s="233"/>
      <c r="G44" s="95"/>
      <c r="H44" s="95"/>
      <c r="I44" s="95"/>
      <c r="J44" s="95"/>
      <c r="K44" s="95"/>
    </row>
    <row r="45" spans="1:11">
      <c r="A45" s="236">
        <v>3</v>
      </c>
      <c r="B45" s="111" t="s">
        <v>23</v>
      </c>
      <c r="C45" s="112">
        <v>0</v>
      </c>
      <c r="D45" s="113"/>
      <c r="E45" s="671"/>
      <c r="F45" s="672"/>
      <c r="G45" s="95"/>
      <c r="H45" s="95"/>
      <c r="I45" s="95"/>
      <c r="J45" s="95"/>
      <c r="K45" s="95"/>
    </row>
    <row r="46" spans="1:11">
      <c r="A46" s="86"/>
      <c r="B46" s="137" t="s">
        <v>14</v>
      </c>
      <c r="C46" s="15">
        <f>SUM(C42:C45)</f>
        <v>0</v>
      </c>
      <c r="D46" s="16"/>
      <c r="E46" s="673"/>
      <c r="F46" s="674"/>
      <c r="G46" s="95"/>
      <c r="H46" s="95"/>
      <c r="I46" s="95"/>
      <c r="J46" s="95"/>
      <c r="K46" s="95"/>
    </row>
    <row r="47" spans="1:11">
      <c r="A47" s="95"/>
      <c r="B47" s="95"/>
      <c r="C47" s="95"/>
      <c r="D47" s="95"/>
      <c r="E47" s="95"/>
      <c r="F47" s="95"/>
      <c r="G47" s="95"/>
      <c r="H47" s="95"/>
      <c r="I47" s="95"/>
      <c r="J47" s="95"/>
      <c r="K47" s="95"/>
    </row>
    <row r="48" spans="1:11">
      <c r="A48" s="9" t="s">
        <v>15</v>
      </c>
      <c r="B48" s="95"/>
      <c r="C48" s="95"/>
      <c r="D48" s="95"/>
      <c r="E48" s="95"/>
      <c r="F48" s="95"/>
      <c r="G48" s="95"/>
      <c r="H48" s="95"/>
      <c r="I48" s="95"/>
      <c r="J48" s="95"/>
      <c r="K48" s="95"/>
    </row>
    <row r="49" spans="1:11">
      <c r="A49" s="162" t="s">
        <v>345</v>
      </c>
      <c r="B49" s="95"/>
      <c r="C49" s="95"/>
      <c r="D49" s="95"/>
      <c r="E49" s="95"/>
      <c r="F49" s="95"/>
      <c r="G49" s="95"/>
      <c r="H49" s="95"/>
      <c r="I49" s="95"/>
      <c r="J49" s="95"/>
      <c r="K49" s="95"/>
    </row>
    <row r="50" spans="1:11">
      <c r="A50" s="21"/>
      <c r="B50" s="21"/>
      <c r="C50" s="95"/>
      <c r="D50" s="95"/>
      <c r="E50" s="95"/>
      <c r="F50" s="95"/>
      <c r="G50" s="95"/>
      <c r="H50" s="95"/>
      <c r="I50" s="95"/>
      <c r="J50" s="95"/>
      <c r="K50" s="95"/>
    </row>
    <row r="51" spans="1:11">
      <c r="A51" s="21"/>
      <c r="B51" s="21"/>
      <c r="C51" s="95"/>
      <c r="D51" s="95"/>
      <c r="E51" s="95"/>
      <c r="F51" s="95"/>
      <c r="G51" s="95"/>
      <c r="H51" s="95"/>
      <c r="I51" s="95"/>
      <c r="J51" s="95"/>
      <c r="K51" s="95"/>
    </row>
    <row r="52" spans="1:11">
      <c r="A52" s="21"/>
      <c r="B52" s="21"/>
      <c r="C52" s="95"/>
      <c r="D52" s="95"/>
      <c r="E52" s="95"/>
      <c r="F52" s="95"/>
      <c r="G52" s="95"/>
      <c r="H52" s="95"/>
      <c r="I52" s="95"/>
      <c r="J52" s="95"/>
      <c r="K52" s="95"/>
    </row>
    <row r="53" spans="1:11">
      <c r="A53" s="21"/>
      <c r="B53" s="21"/>
      <c r="C53" s="95"/>
      <c r="D53" s="95"/>
      <c r="E53" s="95"/>
      <c r="F53" s="95"/>
      <c r="G53" s="95"/>
      <c r="H53" s="95"/>
      <c r="I53" s="95"/>
      <c r="J53" s="95"/>
      <c r="K53" s="95"/>
    </row>
    <row r="54" spans="1:11">
      <c r="A54" s="21"/>
      <c r="B54" s="21"/>
      <c r="C54" s="95"/>
      <c r="D54" s="95"/>
      <c r="E54" s="95"/>
      <c r="F54" s="95"/>
      <c r="G54" s="95"/>
      <c r="H54" s="95"/>
      <c r="I54" s="95"/>
      <c r="J54" s="95"/>
      <c r="K54" s="95"/>
    </row>
    <row r="55" spans="1:11">
      <c r="A55" s="21"/>
      <c r="B55" s="21"/>
      <c r="C55" s="95"/>
      <c r="D55" s="95"/>
      <c r="E55" s="95"/>
      <c r="F55" s="95"/>
      <c r="G55" s="95"/>
      <c r="H55" s="95"/>
      <c r="I55" s="95"/>
      <c r="J55" s="95"/>
      <c r="K55" s="95"/>
    </row>
    <row r="56" spans="1:11">
      <c r="A56" s="21"/>
      <c r="B56" s="21"/>
      <c r="C56" s="95"/>
      <c r="D56" s="95"/>
      <c r="E56" s="95"/>
      <c r="F56" s="95"/>
      <c r="G56" s="95"/>
      <c r="H56" s="95"/>
      <c r="I56" s="95"/>
      <c r="J56" s="95"/>
      <c r="K56" s="95"/>
    </row>
    <row r="57" spans="1:11">
      <c r="A57" s="21"/>
      <c r="B57" s="21"/>
      <c r="C57" s="95"/>
      <c r="D57" s="95"/>
      <c r="E57" s="95"/>
      <c r="F57" s="95"/>
      <c r="G57" s="95"/>
      <c r="H57" s="95"/>
      <c r="I57" s="95"/>
      <c r="J57" s="95"/>
      <c r="K57" s="95"/>
    </row>
    <row r="58" spans="1:11">
      <c r="A58" s="21"/>
      <c r="B58" s="21"/>
      <c r="C58" s="95"/>
      <c r="D58" s="95"/>
      <c r="E58" s="95"/>
      <c r="F58" s="95"/>
      <c r="G58" s="95"/>
      <c r="H58" s="95"/>
      <c r="I58" s="95"/>
      <c r="J58" s="95"/>
      <c r="K58" s="95"/>
    </row>
    <row r="59" spans="1:11">
      <c r="A59" s="95"/>
      <c r="B59" s="95"/>
      <c r="C59" s="95"/>
      <c r="D59" s="95"/>
      <c r="E59" s="95"/>
      <c r="F59" s="95"/>
      <c r="G59" s="95"/>
      <c r="H59" s="95"/>
      <c r="I59" s="95"/>
      <c r="J59" s="95"/>
      <c r="K59" s="95"/>
    </row>
    <row r="60" spans="1:11">
      <c r="A60" s="95"/>
      <c r="B60" s="95"/>
      <c r="C60" s="95"/>
      <c r="D60" s="95"/>
      <c r="E60" s="95"/>
      <c r="F60" s="95"/>
      <c r="G60" s="95"/>
      <c r="H60" s="95"/>
      <c r="I60" s="95"/>
      <c r="J60" s="95"/>
      <c r="K60" s="95"/>
    </row>
    <row r="61" spans="1:11">
      <c r="A61" s="95"/>
      <c r="B61" s="95"/>
      <c r="C61" s="95"/>
      <c r="D61" s="95"/>
      <c r="E61" s="95"/>
      <c r="F61" s="95"/>
      <c r="G61" s="95"/>
      <c r="H61" s="95"/>
      <c r="I61" s="95"/>
      <c r="J61" s="95"/>
      <c r="K61" s="95"/>
    </row>
    <row r="62" spans="1:11">
      <c r="A62" s="95"/>
      <c r="B62" s="95"/>
      <c r="C62" s="95"/>
      <c r="D62" s="95"/>
      <c r="E62" s="95"/>
      <c r="F62" s="95"/>
      <c r="G62" s="95"/>
      <c r="H62" s="95"/>
      <c r="I62" s="95"/>
      <c r="J62" s="95"/>
      <c r="K62" s="95"/>
    </row>
    <row r="63" spans="1:11">
      <c r="A63" s="95"/>
      <c r="B63" s="95"/>
      <c r="C63" s="95"/>
      <c r="D63" s="95"/>
      <c r="E63" s="95"/>
      <c r="F63" s="95"/>
      <c r="G63" s="95"/>
      <c r="H63" s="95"/>
      <c r="I63" s="95"/>
      <c r="J63" s="95"/>
      <c r="K63" s="95"/>
    </row>
    <row r="64" spans="1:11">
      <c r="A64" s="95"/>
      <c r="B64" s="95"/>
      <c r="C64" s="95"/>
      <c r="D64" s="95"/>
      <c r="E64" s="95"/>
      <c r="F64" s="95"/>
      <c r="G64" s="95"/>
      <c r="H64" s="95"/>
      <c r="I64" s="95"/>
      <c r="J64" s="95"/>
      <c r="K64" s="95"/>
    </row>
    <row r="65" spans="1:11">
      <c r="A65" s="95"/>
      <c r="B65" s="95"/>
      <c r="C65" s="95"/>
      <c r="D65" s="95"/>
      <c r="E65" s="95"/>
      <c r="F65" s="95"/>
      <c r="G65" s="95"/>
      <c r="H65" s="95"/>
      <c r="I65" s="95"/>
      <c r="J65" s="95"/>
      <c r="K65" s="95"/>
    </row>
    <row r="66" spans="1:11">
      <c r="A66" s="95"/>
      <c r="B66" s="95"/>
      <c r="C66" s="95"/>
      <c r="D66" s="95"/>
      <c r="E66" s="95"/>
      <c r="F66" s="95"/>
      <c r="G66" s="95"/>
      <c r="H66" s="95"/>
      <c r="I66" s="95"/>
      <c r="J66" s="95"/>
      <c r="K66" s="95"/>
    </row>
    <row r="67" spans="1:11">
      <c r="A67" s="95"/>
      <c r="B67" s="95"/>
      <c r="C67" s="95"/>
      <c r="D67" s="95"/>
      <c r="E67" s="95"/>
      <c r="F67" s="95"/>
      <c r="G67" s="95"/>
      <c r="H67" s="95"/>
      <c r="I67" s="95"/>
      <c r="J67" s="95"/>
      <c r="K67" s="95"/>
    </row>
  </sheetData>
  <mergeCells count="6">
    <mergeCell ref="E46:F46"/>
    <mergeCell ref="B31:E31"/>
    <mergeCell ref="E41:F41"/>
    <mergeCell ref="E42:F42"/>
    <mergeCell ref="E43:F43"/>
    <mergeCell ref="E45:F45"/>
  </mergeCells>
  <printOptions horizontalCentered="1"/>
  <pageMargins left="0.5" right="0.5" top="0.5" bottom="0.5" header="0" footer="0"/>
  <pageSetup paperSize="9" scale="66" orientation="portrait" r:id="rId1"/>
  <drawing r:id="rId2"/>
</worksheet>
</file>

<file path=xl/worksheets/sheet37.xml><?xml version="1.0" encoding="utf-8"?>
<worksheet xmlns="http://schemas.openxmlformats.org/spreadsheetml/2006/main" xmlns:r="http://schemas.openxmlformats.org/officeDocument/2006/relationships">
  <dimension ref="A1:J79"/>
  <sheetViews>
    <sheetView tabSelected="1" view="pageBreakPreview" zoomScaleNormal="100" zoomScaleSheetLayoutView="100" workbookViewId="0">
      <selection activeCell="G18" sqref="G18"/>
    </sheetView>
  </sheetViews>
  <sheetFormatPr defaultRowHeight="15"/>
  <cols>
    <col min="1" max="1" width="4.85546875" customWidth="1"/>
    <col min="2" max="2" width="55" customWidth="1"/>
    <col min="3" max="3" width="20" customWidth="1"/>
    <col min="4" max="4" width="21.28515625" customWidth="1"/>
    <col min="5" max="5" width="14.28515625" customWidth="1"/>
    <col min="6" max="6" width="14" customWidth="1"/>
    <col min="7" max="7" width="10.5703125" bestFit="1" customWidth="1"/>
    <col min="8" max="8" width="12.140625" bestFit="1" customWidth="1"/>
  </cols>
  <sheetData>
    <row r="1" spans="1:10" ht="21">
      <c r="A1" s="1" t="s">
        <v>0</v>
      </c>
      <c r="E1" s="2"/>
      <c r="G1" s="136" t="s">
        <v>560</v>
      </c>
      <c r="J1" s="3"/>
    </row>
    <row r="3" spans="1:10" ht="15.75">
      <c r="A3" s="4" t="s">
        <v>20</v>
      </c>
      <c r="E3" s="85"/>
      <c r="F3" s="86" t="s">
        <v>2</v>
      </c>
      <c r="G3" s="86" t="s">
        <v>3</v>
      </c>
    </row>
    <row r="4" spans="1:10" ht="15.75">
      <c r="A4" s="4" t="s">
        <v>21</v>
      </c>
      <c r="E4" s="85" t="s">
        <v>5</v>
      </c>
      <c r="F4" s="85"/>
      <c r="G4" s="85"/>
    </row>
    <row r="5" spans="1:10">
      <c r="A5" s="7"/>
      <c r="E5" s="85" t="s">
        <v>6</v>
      </c>
      <c r="F5" s="85"/>
      <c r="G5" s="85"/>
    </row>
    <row r="6" spans="1:10">
      <c r="A6" s="7"/>
      <c r="C6" s="115"/>
      <c r="D6" s="115"/>
      <c r="E6" s="115"/>
    </row>
    <row r="7" spans="1:10">
      <c r="A7" s="7"/>
      <c r="D7" s="8"/>
      <c r="E7" s="8"/>
    </row>
    <row r="8" spans="1:10" ht="15.75">
      <c r="A8" s="660" t="s">
        <v>185</v>
      </c>
      <c r="B8" s="660"/>
      <c r="C8" s="660"/>
      <c r="D8" s="660"/>
      <c r="E8" s="660"/>
      <c r="F8" s="660"/>
    </row>
    <row r="10" spans="1:10">
      <c r="A10" s="10"/>
    </row>
    <row r="11" spans="1:10">
      <c r="A11" s="10"/>
    </row>
    <row r="12" spans="1:10">
      <c r="A12" s="10"/>
    </row>
    <row r="13" spans="1:10">
      <c r="A13" s="10"/>
    </row>
    <row r="14" spans="1:10">
      <c r="A14" s="10"/>
    </row>
    <row r="15" spans="1:10">
      <c r="A15" s="10"/>
    </row>
    <row r="16" spans="1:10">
      <c r="A16" s="10"/>
    </row>
    <row r="17" spans="1:1">
      <c r="A17" s="10"/>
    </row>
    <row r="18" spans="1:1">
      <c r="A18" s="10"/>
    </row>
    <row r="19" spans="1:1">
      <c r="A19" s="10"/>
    </row>
    <row r="20" spans="1:1">
      <c r="A20" s="10"/>
    </row>
    <row r="21" spans="1:1">
      <c r="A21" s="10"/>
    </row>
    <row r="22" spans="1:1">
      <c r="A22" s="10"/>
    </row>
    <row r="23" spans="1:1">
      <c r="A23" s="10"/>
    </row>
    <row r="24" spans="1:1">
      <c r="A24" s="10"/>
    </row>
    <row r="25" spans="1:1">
      <c r="A25" s="10"/>
    </row>
    <row r="26" spans="1:1">
      <c r="A26" s="10"/>
    </row>
    <row r="27" spans="1:1">
      <c r="A27" s="10"/>
    </row>
    <row r="28" spans="1:1">
      <c r="A28" s="10"/>
    </row>
    <row r="29" spans="1:1">
      <c r="A29" s="10"/>
    </row>
    <row r="30" spans="1:1">
      <c r="A30" s="10"/>
    </row>
    <row r="31" spans="1:1">
      <c r="A31" s="10"/>
    </row>
    <row r="32" spans="1:1">
      <c r="A32" s="10"/>
    </row>
    <row r="33" spans="1:1">
      <c r="A33" s="10"/>
    </row>
    <row r="34" spans="1:1">
      <c r="A34" s="10"/>
    </row>
    <row r="35" spans="1:1">
      <c r="A35" s="10"/>
    </row>
    <row r="36" spans="1:1">
      <c r="A36" s="10"/>
    </row>
    <row r="52" spans="1:7">
      <c r="A52" s="9" t="s">
        <v>92</v>
      </c>
      <c r="E52" s="2"/>
      <c r="F52" s="255" t="s">
        <v>191</v>
      </c>
      <c r="G52" s="2" t="s">
        <v>251</v>
      </c>
    </row>
    <row r="53" spans="1:7">
      <c r="A53" s="9"/>
      <c r="E53" s="2"/>
      <c r="F53" s="189"/>
    </row>
    <row r="54" spans="1:7">
      <c r="A54" s="116">
        <v>1.1000000000000001</v>
      </c>
      <c r="B54" s="162" t="s">
        <v>500</v>
      </c>
      <c r="E54" s="35"/>
      <c r="F54" s="231" t="s">
        <v>24</v>
      </c>
      <c r="G54" s="231" t="s">
        <v>24</v>
      </c>
    </row>
    <row r="55" spans="1:7">
      <c r="A55" s="12"/>
      <c r="B55" s="162" t="s">
        <v>355</v>
      </c>
      <c r="E55" s="35"/>
    </row>
    <row r="56" spans="1:7">
      <c r="A56" s="12"/>
      <c r="B56" s="21"/>
    </row>
    <row r="57" spans="1:7">
      <c r="A57" s="9" t="s">
        <v>8</v>
      </c>
    </row>
    <row r="58" spans="1:7">
      <c r="A58" s="12" t="s">
        <v>7</v>
      </c>
    </row>
    <row r="59" spans="1:7">
      <c r="A59" s="13" t="s">
        <v>9</v>
      </c>
      <c r="B59" s="13" t="s">
        <v>18</v>
      </c>
      <c r="C59" s="13" t="s">
        <v>11</v>
      </c>
      <c r="D59" s="14" t="s">
        <v>12</v>
      </c>
      <c r="E59" s="13" t="s">
        <v>13</v>
      </c>
    </row>
    <row r="60" spans="1:7">
      <c r="A60" s="240"/>
      <c r="B60" s="241" t="s">
        <v>346</v>
      </c>
      <c r="C60" s="126"/>
      <c r="D60" s="126"/>
      <c r="E60" s="126"/>
    </row>
    <row r="61" spans="1:7">
      <c r="A61" s="240">
        <v>1</v>
      </c>
      <c r="B61" s="126"/>
      <c r="C61" s="126"/>
      <c r="D61" s="126"/>
      <c r="E61" s="126"/>
    </row>
    <row r="62" spans="1:7">
      <c r="A62" s="240">
        <v>2</v>
      </c>
      <c r="B62" s="126"/>
      <c r="C62" s="126"/>
      <c r="D62" s="126"/>
      <c r="E62" s="126"/>
    </row>
    <row r="63" spans="1:7">
      <c r="A63" s="240">
        <v>3</v>
      </c>
      <c r="B63" s="126"/>
      <c r="C63" s="126"/>
      <c r="D63" s="126"/>
      <c r="E63" s="126"/>
    </row>
    <row r="64" spans="1:7">
      <c r="A64" s="240">
        <v>4</v>
      </c>
      <c r="B64" s="126"/>
      <c r="C64" s="126"/>
      <c r="D64" s="126"/>
      <c r="E64" s="126"/>
    </row>
    <row r="65" spans="1:5">
      <c r="A65" s="240">
        <v>5</v>
      </c>
      <c r="B65" s="126"/>
      <c r="C65" s="126"/>
      <c r="D65" s="126"/>
      <c r="E65" s="126"/>
    </row>
    <row r="66" spans="1:5">
      <c r="A66" s="240"/>
      <c r="B66" s="126"/>
      <c r="C66" s="126"/>
      <c r="D66" s="126"/>
      <c r="E66" s="126"/>
    </row>
    <row r="67" spans="1:5">
      <c r="A67" s="50"/>
      <c r="B67" s="82" t="s">
        <v>14</v>
      </c>
      <c r="C67" s="83">
        <f>SUM(C60:C66)</f>
        <v>0</v>
      </c>
      <c r="D67" s="84"/>
      <c r="E67" s="82"/>
    </row>
    <row r="69" spans="1:5">
      <c r="A69" s="9" t="s">
        <v>15</v>
      </c>
    </row>
    <row r="70" spans="1:5">
      <c r="A70" s="162" t="s">
        <v>347</v>
      </c>
    </row>
    <row r="71" spans="1:5">
      <c r="A71" s="162" t="s">
        <v>348</v>
      </c>
      <c r="B71" s="20"/>
    </row>
    <row r="72" spans="1:5">
      <c r="A72" s="20"/>
      <c r="B72" s="20"/>
    </row>
    <row r="73" spans="1:5">
      <c r="A73" s="20"/>
      <c r="B73" s="20"/>
    </row>
    <row r="74" spans="1:5">
      <c r="A74" s="20"/>
      <c r="B74" s="20"/>
    </row>
    <row r="75" spans="1:5">
      <c r="A75" s="20"/>
      <c r="B75" s="20"/>
    </row>
    <row r="76" spans="1:5">
      <c r="A76" s="20"/>
      <c r="B76" s="20"/>
    </row>
    <row r="77" spans="1:5">
      <c r="A77" s="20"/>
      <c r="B77" s="20"/>
    </row>
    <row r="78" spans="1:5">
      <c r="A78" s="20"/>
      <c r="B78" s="20"/>
    </row>
    <row r="79" spans="1:5">
      <c r="A79" s="20"/>
      <c r="B79" s="20"/>
    </row>
  </sheetData>
  <mergeCells count="1">
    <mergeCell ref="A8:F8"/>
  </mergeCells>
  <pageMargins left="0.7" right="0.7" top="0.75" bottom="0.75" header="0.3" footer="0.3"/>
  <pageSetup scale="64"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E6070EC7B8CDA46B67D0AB247BB0995" ma:contentTypeVersion="17" ma:contentTypeDescription="Create a new document." ma:contentTypeScope="" ma:versionID="6208f6ef4f99ac4220cc73d428f7a3be">
  <xsd:schema xmlns:xsd="http://www.w3.org/2001/XMLSchema" xmlns:xs="http://www.w3.org/2001/XMLSchema" xmlns:p="http://schemas.microsoft.com/office/2006/metadata/properties" xmlns:ns2="3841c666-fd63-40bc-beef-ced2745222d3" xmlns:ns3="097e1a6a-fc06-45b2-8873-15e0270064ac" xmlns:ns4="4243d5be-521d-4052-81ca-f0f31ea6f2da" targetNamespace="http://schemas.microsoft.com/office/2006/metadata/properties" ma:root="true" ma:fieldsID="811c77fad17e661c7daf78d2eb917f1e" ns2:_="" ns3:_="" ns4:_="">
    <xsd:import namespace="3841c666-fd63-40bc-beef-ced2745222d3"/>
    <xsd:import namespace="097e1a6a-fc06-45b2-8873-15e0270064ac"/>
    <xsd:import namespace="4243d5be-521d-4052-81ca-f0f31ea6f2d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4:TaxCatchAll"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841c666-fd63-40bc-beef-ced2745222d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8883d318-f35c-4577-94aa-4c8e836d27a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097e1a6a-fc06-45b2-8873-15e0270064ac"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243d5be-521d-4052-81ca-f0f31ea6f2da"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a735b32c-89d7-4def-8826-2e55c195f91e}" ma:internalName="TaxCatchAll" ma:showField="CatchAllData" ma:web="097e1a6a-fc06-45b2-8873-15e0270064a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841c666-fd63-40bc-beef-ced2745222d3">
      <Terms xmlns="http://schemas.microsoft.com/office/infopath/2007/PartnerControls"/>
    </lcf76f155ced4ddcb4097134ff3c332f>
    <TaxCatchAll xmlns="4243d5be-521d-4052-81ca-f0f31ea6f2da" xsi:nil="true"/>
  </documentManagement>
</p:properties>
</file>

<file path=customXml/itemProps1.xml><?xml version="1.0" encoding="utf-8"?>
<ds:datastoreItem xmlns:ds="http://schemas.openxmlformats.org/officeDocument/2006/customXml" ds:itemID="{168B393F-2A44-4298-BCFF-EA61CD6C714E}"/>
</file>

<file path=customXml/itemProps2.xml><?xml version="1.0" encoding="utf-8"?>
<ds:datastoreItem xmlns:ds="http://schemas.openxmlformats.org/officeDocument/2006/customXml" ds:itemID="{ED3E19B5-6497-4145-A049-84B37B86D4A4}"/>
</file>

<file path=customXml/itemProps3.xml><?xml version="1.0" encoding="utf-8"?>
<ds:datastoreItem xmlns:ds="http://schemas.openxmlformats.org/officeDocument/2006/customXml" ds:itemID="{88014622-E40D-476F-897B-E24080F6E34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37</vt:i4>
      </vt:variant>
      <vt:variant>
        <vt:lpstr>Named Ranges</vt:lpstr>
      </vt:variant>
      <vt:variant>
        <vt:i4>30</vt:i4>
      </vt:variant>
    </vt:vector>
  </HeadingPairs>
  <TitlesOfParts>
    <vt:vector size="67" baseType="lpstr">
      <vt:lpstr>Detailed adjustments</vt:lpstr>
      <vt:lpstr>B2</vt:lpstr>
      <vt:lpstr>B3</vt:lpstr>
      <vt:lpstr>B4.1</vt:lpstr>
      <vt:lpstr>B4.2</vt:lpstr>
      <vt:lpstr>B4.3</vt:lpstr>
      <vt:lpstr>B4.4</vt:lpstr>
      <vt:lpstr>B4.5</vt:lpstr>
      <vt:lpstr>B4.6</vt:lpstr>
      <vt:lpstr>B4.7</vt:lpstr>
      <vt:lpstr>B4.8</vt:lpstr>
      <vt:lpstr>B4.9</vt:lpstr>
      <vt:lpstr>B4.9.1</vt:lpstr>
      <vt:lpstr>B4.9.2</vt:lpstr>
      <vt:lpstr>B4.9.2a</vt:lpstr>
      <vt:lpstr>B4.9.3</vt:lpstr>
      <vt:lpstr>B4.9.3a</vt:lpstr>
      <vt:lpstr>B4.9.4</vt:lpstr>
      <vt:lpstr>B4.9.4a</vt:lpstr>
      <vt:lpstr>B4.9.5</vt:lpstr>
      <vt:lpstr>B4.9.5a</vt:lpstr>
      <vt:lpstr>B4.10</vt:lpstr>
      <vt:lpstr>B4.11</vt:lpstr>
      <vt:lpstr>B4.12</vt:lpstr>
      <vt:lpstr>B4.12.1</vt:lpstr>
      <vt:lpstr>B4.12.2</vt:lpstr>
      <vt:lpstr>B5</vt:lpstr>
      <vt:lpstr>B6</vt:lpstr>
      <vt:lpstr>B6.1</vt:lpstr>
      <vt:lpstr>B6.2</vt:lpstr>
      <vt:lpstr>B8</vt:lpstr>
      <vt:lpstr>B9</vt:lpstr>
      <vt:lpstr>B10</vt:lpstr>
      <vt:lpstr>B11</vt:lpstr>
      <vt:lpstr>B11.1</vt:lpstr>
      <vt:lpstr>B11.2</vt:lpstr>
      <vt:lpstr>Other income</vt:lpstr>
      <vt:lpstr>'B10'!Print_Area</vt:lpstr>
      <vt:lpstr>'B11'!Print_Area</vt:lpstr>
      <vt:lpstr>B11.1!Print_Area</vt:lpstr>
      <vt:lpstr>B11.2!Print_Area</vt:lpstr>
      <vt:lpstr>'B2'!Print_Area</vt:lpstr>
      <vt:lpstr>B4.10!Print_Area</vt:lpstr>
      <vt:lpstr>B4.11!Print_Area</vt:lpstr>
      <vt:lpstr>B4.12!Print_Area</vt:lpstr>
      <vt:lpstr>B4.2!Print_Area</vt:lpstr>
      <vt:lpstr>B4.3!Print_Area</vt:lpstr>
      <vt:lpstr>B4.5!Print_Area</vt:lpstr>
      <vt:lpstr>B4.7!Print_Area</vt:lpstr>
      <vt:lpstr>B4.8!Print_Area</vt:lpstr>
      <vt:lpstr>B4.9!Print_Area</vt:lpstr>
      <vt:lpstr>B4.9.1!Print_Area</vt:lpstr>
      <vt:lpstr>B4.9.2!Print_Area</vt:lpstr>
      <vt:lpstr>B4.9.2a!Print_Area</vt:lpstr>
      <vt:lpstr>B4.9.3!Print_Area</vt:lpstr>
      <vt:lpstr>B4.9.3a!Print_Area</vt:lpstr>
      <vt:lpstr>B4.9.4!Print_Area</vt:lpstr>
      <vt:lpstr>B4.9.4a!Print_Area</vt:lpstr>
      <vt:lpstr>B4.9.5!Print_Area</vt:lpstr>
      <vt:lpstr>B4.9.5a!Print_Area</vt:lpstr>
      <vt:lpstr>'B6'!Print_Area</vt:lpstr>
      <vt:lpstr>B6.1!Print_Area</vt:lpstr>
      <vt:lpstr>B6.2!Print_Area</vt:lpstr>
      <vt:lpstr>'B8'!Print_Area</vt:lpstr>
      <vt:lpstr>'B9'!Print_Area</vt:lpstr>
      <vt:lpstr>'Detailed adjustments'!Print_Area</vt:lpstr>
      <vt:lpstr>'Other income'!Print_Area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2013-05-09T11:54:03Z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0x0101008E6070EC7B8CDA46B67D0AB247BB0995</vt:lpwstr>
  </property>
</Properties>
</file>