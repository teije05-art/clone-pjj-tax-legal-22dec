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tdinh\Desktop\"/>
    </mc:Choice>
  </mc:AlternateContent>
  <bookViews>
    <workbookView xWindow="0" yWindow="0" windowWidth="20490" windowHeight="745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9" i="4" l="1"/>
  <c r="E66" i="4"/>
  <c r="D65" i="4"/>
  <c r="B64" i="4"/>
  <c r="G5" i="4"/>
  <c r="H21" i="2"/>
  <c r="L18" i="3"/>
  <c r="C24" i="3"/>
  <c r="K27" i="3"/>
  <c r="K18" i="3"/>
  <c r="K11" i="3"/>
  <c r="C16" i="3"/>
  <c r="M3" i="3"/>
  <c r="D5" i="3"/>
  <c r="V24" i="2"/>
  <c r="G11" i="2"/>
  <c r="G10" i="2"/>
  <c r="F11" i="2"/>
  <c r="F10" i="2"/>
  <c r="E11" i="2"/>
  <c r="E10" i="2"/>
  <c r="S24" i="2"/>
  <c r="R24" i="2"/>
  <c r="R23" i="2"/>
  <c r="R14" i="2"/>
  <c r="R11" i="2"/>
  <c r="N25" i="2"/>
  <c r="N24" i="2"/>
  <c r="N23" i="2"/>
  <c r="I24" i="2"/>
  <c r="I23" i="2"/>
  <c r="N17" i="2"/>
  <c r="I17" i="2"/>
  <c r="N16" i="2"/>
  <c r="N14" i="2"/>
  <c r="I16" i="2"/>
  <c r="I14" i="2"/>
  <c r="G24" i="2"/>
  <c r="G23" i="2"/>
  <c r="F24" i="2"/>
  <c r="E24" i="2"/>
  <c r="F23" i="2"/>
  <c r="E23" i="2"/>
  <c r="E14" i="2"/>
  <c r="E21" i="2"/>
  <c r="C18" i="2"/>
  <c r="E17" i="2"/>
  <c r="E16" i="2"/>
  <c r="E9" i="2"/>
  <c r="E18" i="2" s="1"/>
  <c r="E6" i="2"/>
  <c r="E5" i="2"/>
  <c r="E4" i="2"/>
  <c r="K22" i="1"/>
  <c r="C17" i="1"/>
  <c r="E17" i="1"/>
  <c r="E16" i="1"/>
  <c r="E15" i="1"/>
  <c r="E6" i="1"/>
  <c r="E5" i="1"/>
  <c r="E20" i="1"/>
  <c r="E9" i="1"/>
  <c r="E4" i="1"/>
</calcChain>
</file>

<file path=xl/sharedStrings.xml><?xml version="1.0" encoding="utf-8"?>
<sst xmlns="http://schemas.openxmlformats.org/spreadsheetml/2006/main" count="226" uniqueCount="121">
  <si>
    <t>Payables</t>
  </si>
  <si>
    <t>Ori. Currency</t>
  </si>
  <si>
    <t>USD</t>
  </si>
  <si>
    <t>FX</t>
  </si>
  <si>
    <t>VND equiv</t>
  </si>
  <si>
    <t>VND</t>
  </si>
  <si>
    <t>YE15</t>
  </si>
  <si>
    <t>VNDm</t>
  </si>
  <si>
    <t>FX loss</t>
  </si>
  <si>
    <t>Method 1:</t>
  </si>
  <si>
    <t>FY16</t>
  </si>
  <si>
    <t>Tax</t>
  </si>
  <si>
    <t>Realised</t>
  </si>
  <si>
    <t>Unrealised</t>
  </si>
  <si>
    <t>Revert</t>
  </si>
  <si>
    <t>Total</t>
  </si>
  <si>
    <t>No impact</t>
  </si>
  <si>
    <t>Unrealised FX loss</t>
  </si>
  <si>
    <t>FY15</t>
  </si>
  <si>
    <t>Revert FX loss</t>
  </si>
  <si>
    <t>FY14</t>
  </si>
  <si>
    <t>Unrealised loss AR</t>
  </si>
  <si>
    <t>Unrealised loss AP</t>
  </si>
  <si>
    <t>Non-de</t>
  </si>
  <si>
    <t>Ded</t>
  </si>
  <si>
    <t xml:space="preserve">Revert </t>
  </si>
  <si>
    <t>Revalue payables to KPMG</t>
  </si>
  <si>
    <t>Receivable cash at Citibank-acct1002123</t>
  </si>
  <si>
    <t>Revalue payables to Delloitte</t>
  </si>
  <si>
    <t>Receivable cash at ANZ-acct1002123</t>
  </si>
  <si>
    <t>Revalue payables to Vincom</t>
  </si>
  <si>
    <t>Receivable receivables from KPMG</t>
  </si>
  <si>
    <t>payable</t>
  </si>
  <si>
    <t>deduct</t>
  </si>
  <si>
    <t>cash &amp; AR</t>
  </si>
  <si>
    <t>non-deduct</t>
  </si>
  <si>
    <t>Adjust for revaluation</t>
  </si>
  <si>
    <t>Adjust for revaluation C&amp;AR</t>
  </si>
  <si>
    <t>Revert Revalue payables to KPMG</t>
  </si>
  <si>
    <t>not adjust</t>
  </si>
  <si>
    <t>adjusted</t>
  </si>
  <si>
    <t>Revert unrealised FX from C&amp;AR which was adjusted for tax in the previous years</t>
  </si>
  <si>
    <t xml:space="preserve">Ban hang </t>
  </si>
  <si>
    <t>Dr</t>
  </si>
  <si>
    <t>Tien</t>
  </si>
  <si>
    <t>Cr</t>
  </si>
  <si>
    <t>Tien/Recei</t>
  </si>
  <si>
    <t>Rev</t>
  </si>
  <si>
    <t>De</t>
  </si>
  <si>
    <t>Hang ton kho</t>
  </si>
  <si>
    <t>COGS</t>
  </si>
  <si>
    <t>Mua FA</t>
  </si>
  <si>
    <t>Tien / payable</t>
  </si>
  <si>
    <t>Khau hao</t>
  </si>
  <si>
    <t>CF luong</t>
  </si>
  <si>
    <t xml:space="preserve">Dr </t>
  </si>
  <si>
    <t xml:space="preserve">Cr </t>
  </si>
  <si>
    <t>Ee payable</t>
  </si>
  <si>
    <t>Tra luong</t>
  </si>
  <si>
    <t>VAT payable</t>
  </si>
  <si>
    <t>Tra thue</t>
  </si>
  <si>
    <t xml:space="preserve">NVL </t>
  </si>
  <si>
    <t>156 NVL</t>
  </si>
  <si>
    <t>VAT creditable</t>
  </si>
  <si>
    <t>Vay tien mua NVL</t>
  </si>
  <si>
    <t xml:space="preserve"> Step 1: Mua NVL</t>
  </si>
  <si>
    <t>152 NVL</t>
  </si>
  <si>
    <t>Payable</t>
  </si>
  <si>
    <t>Step 2</t>
  </si>
  <si>
    <t>Vay tien NH de tra NCC</t>
  </si>
  <si>
    <t>Borrowing</t>
  </si>
  <si>
    <t>Material</t>
  </si>
  <si>
    <t>Input VAT</t>
  </si>
  <si>
    <t>Gop von</t>
  </si>
  <si>
    <t>Equity</t>
  </si>
  <si>
    <t>Dau tu con</t>
  </si>
  <si>
    <t>Cr tien</t>
  </si>
  <si>
    <t>Investment</t>
  </si>
  <si>
    <t>Du phong</t>
  </si>
  <si>
    <t>Expense</t>
  </si>
  <si>
    <t>WIP - cost</t>
  </si>
  <si>
    <t>Ex dai ly</t>
  </si>
  <si>
    <t>A&amp;P</t>
  </si>
  <si>
    <t>Market value</t>
  </si>
  <si>
    <t>NRV</t>
  </si>
  <si>
    <t>Additional cost (estimate)</t>
  </si>
  <si>
    <t>Thu nhập chịu thuế</t>
  </si>
  <si>
    <t>Thu nhập không chịu thuế</t>
  </si>
  <si>
    <t>Thu nhập từ tiền công, tiền lương</t>
  </si>
  <si>
    <t>Trợ cấp thôi việc</t>
  </si>
  <si>
    <t>Thưởng</t>
  </si>
  <si>
    <t>Phụ cấp độc hại</t>
  </si>
  <si>
    <t>Các khoản phụ cấp (xăng xe, đi lại, trách nhiệm, chuyên cần, v.v)</t>
  </si>
  <si>
    <t>Phụ cấp thu hút</t>
  </si>
  <si>
    <t xml:space="preserve">Tiền thù lao: môi giới, cung cấp dịch vụ </t>
  </si>
  <si>
    <t>Trợ cấp chuyển vùng 1 lần áp dụng cho nhân viên nước ngoài, hoặc người VN định cư lâu dài ở NN về VN</t>
  </si>
  <si>
    <t xml:space="preserve">Tiền tham gia hội đồng quản trị, ban điều hành, ban quản lý </t>
  </si>
  <si>
    <t>Vé máy bay khứ hồi 1 lần / 1 năm cho nhân viên nước ngoài</t>
  </si>
  <si>
    <t xml:space="preserve">Các khoản phụ cấp bằng hiện vật: </t>
  </si>
  <si>
    <r>
      <t>§</t>
    </r>
    <r>
      <rPr>
        <sz val="14"/>
        <color rgb="FF00338D"/>
        <rFont val="Arial"/>
        <family val="2"/>
      </rPr>
      <t>Tiền nhà ở, điện nước</t>
    </r>
  </si>
  <si>
    <r>
      <t>§</t>
    </r>
    <r>
      <rPr>
        <sz val="14"/>
        <color rgb="FF00338D"/>
        <rFont val="Arial"/>
        <family val="2"/>
      </rPr>
      <t xml:space="preserve">Bảo hiểm bắt buộc </t>
    </r>
    <r>
      <rPr>
        <b/>
        <u/>
        <sz val="14"/>
        <color rgb="FF00338D"/>
        <rFont val="Arial"/>
        <family val="2"/>
      </rPr>
      <t>có tính tích lũy</t>
    </r>
    <r>
      <rPr>
        <sz val="14"/>
        <color rgb="FF00338D"/>
        <rFont val="Arial"/>
        <family val="2"/>
      </rPr>
      <t xml:space="preserve"> về phí (VD: bảo hiểm nhân thọ)</t>
    </r>
  </si>
  <si>
    <r>
      <t>§</t>
    </r>
    <r>
      <rPr>
        <sz val="14"/>
        <color rgb="FF00338D"/>
        <rFont val="Arial"/>
        <family val="2"/>
      </rPr>
      <t>Phí hội viên, dịch vụ phục vụ đích danh cá nhân</t>
    </r>
  </si>
  <si>
    <r>
      <t>§</t>
    </r>
    <r>
      <rPr>
        <sz val="14"/>
        <color rgb="FF00338D"/>
        <rFont val="Arial"/>
        <family val="2"/>
      </rPr>
      <t>Các khoản khoán chi (điện thoại, xăng xe, tiền ăn, công tác phí) cao hơn quy định của Nhà nước và công ty</t>
    </r>
  </si>
  <si>
    <t>Khoản bảo hiểm không bắt buộc không có tính tích lũy về phí (bảo hiểm sức khỏe AON)</t>
  </si>
  <si>
    <t xml:space="preserve">Tiền công làm việc ban đêm, làm thêm giờ được trả cao hơn so với tiền lương, tiền công làm việc ban ngày, làm việc trong giờ quy định </t>
  </si>
  <si>
    <t>Chi trang phục bằng tiền mặt trong giới hạn 5 triệu VNĐ/người/năm</t>
  </si>
  <si>
    <t>Phụ cấp ăn giữa ca trong giới hạn 680.000/người/tháng</t>
  </si>
  <si>
    <t>Phụ cấp hỗ trợ từ bảo hiểm</t>
  </si>
  <si>
    <t>Bậc</t>
  </si>
  <si>
    <t>Thu nhập tính thuế /tháng</t>
  </si>
  <si>
    <t>Thuế suất</t>
  </si>
  <si>
    <t>Đến 5 triệu đồng (trđ)</t>
  </si>
  <si>
    <t>Trên 5 trđ đến 10 trđ</t>
  </si>
  <si>
    <t>Trên 10 trđ đến 18 trđ</t>
  </si>
  <si>
    <t>Trên 18 trđ đến 32 trđ</t>
  </si>
  <si>
    <t>Trên 32 trđ đến 52 trđ</t>
  </si>
  <si>
    <t>Trên 52 trđ đến 80 trđ</t>
  </si>
  <si>
    <t>Trên 80 trđ</t>
  </si>
  <si>
    <t>Vay tiền để trả divident: CF lãi vay ko đc trừ</t>
  </si>
  <si>
    <t>Check if KH record lẫn accrual vào payable</t>
  </si>
  <si>
    <t>Check nếu có khoản advance lớn mà đi vay thì CF ko dc trừ, vì khoản advance cho 1 bên related party có thể đc coi là 1 khoản vay ko lãi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</si>
</sst>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338D"/>
      <name val="Arial"/>
      <family val="2"/>
    </font>
    <font>
      <sz val="14"/>
      <color rgb="FF00338D"/>
      <name val="Arial"/>
      <family val="2"/>
    </font>
    <font>
      <sz val="8.25"/>
      <color rgb="FF8E258D"/>
      <name val="Wingdings"/>
      <charset val="2"/>
    </font>
    <font>
      <b/>
      <u/>
      <sz val="14"/>
      <color rgb="FF00338D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FD75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3" fillId="0" borderId="0" xfId="0" applyFont="1"/>
    <xf numFmtId="164" fontId="0" fillId="0" borderId="0" xfId="0" applyNumberFormat="1"/>
    <xf numFmtId="164" fontId="0" fillId="0" borderId="1" xfId="1" applyNumberFormat="1" applyFont="1" applyBorder="1"/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0" fontId="0" fillId="0" borderId="0" xfId="0" applyFont="1"/>
    <xf numFmtId="43" fontId="0" fillId="0" borderId="0" xfId="1" applyFont="1" applyFill="1"/>
    <xf numFmtId="164" fontId="3" fillId="0" borderId="0" xfId="1" applyNumberFormat="1" applyFont="1"/>
    <xf numFmtId="0" fontId="0" fillId="0" borderId="1" xfId="0" applyBorder="1"/>
    <xf numFmtId="0" fontId="0" fillId="0" borderId="1" xfId="0" applyFont="1" applyBorder="1"/>
    <xf numFmtId="164" fontId="4" fillId="0" borderId="0" xfId="1" applyNumberFormat="1" applyFont="1"/>
    <xf numFmtId="164" fontId="4" fillId="0" borderId="1" xfId="1" applyNumberFormat="1" applyFont="1" applyBorder="1"/>
    <xf numFmtId="164" fontId="3" fillId="0" borderId="0" xfId="0" applyNumberFormat="1" applyFont="1"/>
    <xf numFmtId="16" fontId="0" fillId="0" borderId="0" xfId="0" applyNumberFormat="1"/>
    <xf numFmtId="15" fontId="2" fillId="0" borderId="0" xfId="0" applyNumberFormat="1" applyFont="1"/>
    <xf numFmtId="0" fontId="2" fillId="0" borderId="0" xfId="0" applyFont="1"/>
    <xf numFmtId="164" fontId="2" fillId="0" borderId="0" xfId="1" applyNumberFormat="1" applyFont="1"/>
    <xf numFmtId="15" fontId="4" fillId="0" borderId="0" xfId="0" applyNumberFormat="1" applyFont="1"/>
    <xf numFmtId="15" fontId="5" fillId="0" borderId="0" xfId="0" applyNumberFormat="1" applyFont="1"/>
    <xf numFmtId="164" fontId="5" fillId="0" borderId="0" xfId="1" applyNumberFormat="1" applyFont="1"/>
    <xf numFmtId="164" fontId="6" fillId="0" borderId="0" xfId="0" applyNumberFormat="1" applyFont="1"/>
    <xf numFmtId="0" fontId="2" fillId="0" borderId="0" xfId="0" applyFont="1" applyFill="1"/>
    <xf numFmtId="164" fontId="6" fillId="0" borderId="0" xfId="1" applyNumberFormat="1" applyFont="1"/>
    <xf numFmtId="164" fontId="2" fillId="0" borderId="0" xfId="0" applyNumberFormat="1" applyFont="1"/>
    <xf numFmtId="0" fontId="7" fillId="3" borderId="2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indent="3" readingOrder="1"/>
    </xf>
    <xf numFmtId="0" fontId="11" fillId="0" borderId="0" xfId="0" applyFont="1" applyAlignment="1">
      <alignment vertical="center" wrapText="1"/>
    </xf>
    <xf numFmtId="9" fontId="8" fillId="0" borderId="2" xfId="2" applyFont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15</xdr:row>
      <xdr:rowOff>38100</xdr:rowOff>
    </xdr:from>
    <xdr:to>
      <xdr:col>7</xdr:col>
      <xdr:colOff>600075</xdr:colOff>
      <xdr:row>19</xdr:row>
      <xdr:rowOff>180975</xdr:rowOff>
    </xdr:to>
    <xdr:cxnSp macro="">
      <xdr:nvCxnSpPr>
        <xdr:cNvPr id="3" name="Straight Connector 2"/>
        <xdr:cNvCxnSpPr/>
      </xdr:nvCxnSpPr>
      <xdr:spPr>
        <a:xfrm>
          <a:off x="6276975" y="2895600"/>
          <a:ext cx="81915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714375</xdr:colOff>
      <xdr:row>21</xdr:row>
      <xdr:rowOff>28575</xdr:rowOff>
    </xdr:from>
    <xdr:to>
      <xdr:col>7</xdr:col>
      <xdr:colOff>390525</xdr:colOff>
      <xdr:row>21</xdr:row>
      <xdr:rowOff>171450</xdr:rowOff>
    </xdr:to>
    <xdr:cxnSp macro="">
      <xdr:nvCxnSpPr>
        <xdr:cNvPr id="5" name="Straight Connector 4"/>
        <xdr:cNvCxnSpPr/>
      </xdr:nvCxnSpPr>
      <xdr:spPr>
        <a:xfrm flipV="1">
          <a:off x="6257925" y="4029075"/>
          <a:ext cx="62865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5" workbookViewId="0">
      <selection activeCell="G26" sqref="G26"/>
    </sheetView>
  </sheetViews>
  <sheetFormatPr defaultRowHeight="15" x14ac:dyDescent="0.25"/>
  <cols>
    <col min="1" max="1" width="9.7109375" bestFit="1" customWidth="1"/>
    <col min="3" max="3" width="13.7109375" style="2" customWidth="1"/>
    <col min="4" max="4" width="10.5703125" style="2" bestFit="1" customWidth="1"/>
    <col min="5" max="5" width="15.28515625" style="2" bestFit="1" customWidth="1"/>
    <col min="9" max="9" width="9.140625" style="8"/>
    <col min="10" max="10" width="12.28515625" style="8" bestFit="1" customWidth="1"/>
  </cols>
  <sheetData>
    <row r="1" spans="1:12" x14ac:dyDescent="0.25">
      <c r="C1" s="2" t="s">
        <v>0</v>
      </c>
    </row>
    <row r="2" spans="1:12" x14ac:dyDescent="0.25">
      <c r="C2" s="2" t="s">
        <v>1</v>
      </c>
      <c r="D2" s="2" t="s">
        <v>3</v>
      </c>
      <c r="E2" s="2" t="s">
        <v>4</v>
      </c>
    </row>
    <row r="3" spans="1:12" x14ac:dyDescent="0.25">
      <c r="C3" s="2" t="s">
        <v>2</v>
      </c>
      <c r="E3" s="2" t="s">
        <v>5</v>
      </c>
      <c r="I3" s="8" t="s">
        <v>6</v>
      </c>
    </row>
    <row r="4" spans="1:12" x14ac:dyDescent="0.25">
      <c r="A4" s="1">
        <v>42170</v>
      </c>
      <c r="C4" s="2">
        <v>3000</v>
      </c>
      <c r="D4" s="2">
        <v>20000</v>
      </c>
      <c r="E4" s="2">
        <f>C4*D4</f>
        <v>60000000</v>
      </c>
      <c r="I4" s="8" t="s">
        <v>7</v>
      </c>
      <c r="L4" t="s">
        <v>11</v>
      </c>
    </row>
    <row r="5" spans="1:12" x14ac:dyDescent="0.25">
      <c r="A5" s="1">
        <v>42170</v>
      </c>
      <c r="C5" s="2">
        <v>7000</v>
      </c>
      <c r="D5" s="2">
        <v>20000</v>
      </c>
      <c r="E5" s="5">
        <f>C5*D5</f>
        <v>140000000</v>
      </c>
    </row>
    <row r="6" spans="1:12" x14ac:dyDescent="0.25">
      <c r="A6" s="1"/>
      <c r="E6" s="2">
        <f>SUM(E4:E5)</f>
        <v>200000000</v>
      </c>
    </row>
    <row r="7" spans="1:12" x14ac:dyDescent="0.25">
      <c r="A7" s="1"/>
    </row>
    <row r="9" spans="1:12" x14ac:dyDescent="0.25">
      <c r="A9" s="1">
        <v>42369</v>
      </c>
      <c r="C9" s="2">
        <v>10000</v>
      </c>
      <c r="D9" s="2">
        <v>22000</v>
      </c>
      <c r="E9" s="2">
        <f>C9*D9</f>
        <v>220000000</v>
      </c>
      <c r="G9" t="s">
        <v>0</v>
      </c>
      <c r="I9" s="8">
        <v>220</v>
      </c>
    </row>
    <row r="10" spans="1:12" x14ac:dyDescent="0.25">
      <c r="I10" s="8" t="s">
        <v>12</v>
      </c>
      <c r="J10" s="8" t="s">
        <v>13</v>
      </c>
    </row>
    <row r="11" spans="1:12" x14ac:dyDescent="0.25">
      <c r="G11" t="s">
        <v>8</v>
      </c>
      <c r="J11" s="8">
        <v>20</v>
      </c>
      <c r="L11">
        <v>-20</v>
      </c>
    </row>
    <row r="13" spans="1:12" x14ac:dyDescent="0.25">
      <c r="G13" s="3" t="s">
        <v>9</v>
      </c>
      <c r="I13" s="8" t="s">
        <v>10</v>
      </c>
      <c r="K13" s="3"/>
    </row>
    <row r="14" spans="1:12" x14ac:dyDescent="0.25">
      <c r="G14" s="3"/>
      <c r="K14" s="3"/>
    </row>
    <row r="15" spans="1:12" x14ac:dyDescent="0.25">
      <c r="A15" s="1">
        <v>42569</v>
      </c>
      <c r="C15" s="2">
        <v>-7000</v>
      </c>
      <c r="D15" s="2">
        <v>22500</v>
      </c>
      <c r="E15" s="2">
        <f>C15*D15</f>
        <v>-157500000</v>
      </c>
      <c r="G15" s="3" t="s">
        <v>8</v>
      </c>
      <c r="I15" s="8">
        <v>17.5</v>
      </c>
      <c r="J15" s="9"/>
      <c r="K15" s="3"/>
    </row>
    <row r="16" spans="1:12" x14ac:dyDescent="0.25">
      <c r="A16" s="1">
        <v>42574</v>
      </c>
      <c r="C16" s="5">
        <v>2000</v>
      </c>
      <c r="D16" s="5">
        <v>22600</v>
      </c>
      <c r="E16" s="5">
        <f>C16*D16</f>
        <v>45200000</v>
      </c>
      <c r="G16" s="3"/>
      <c r="K16" s="3"/>
    </row>
    <row r="17" spans="1:11" x14ac:dyDescent="0.25">
      <c r="A17" s="1"/>
      <c r="C17" s="2">
        <f>C9+C15+C16</f>
        <v>5000</v>
      </c>
      <c r="E17" s="2">
        <f>E9+E15+E16</f>
        <v>107700000</v>
      </c>
      <c r="G17" s="3"/>
      <c r="K17" s="3"/>
    </row>
    <row r="18" spans="1:11" x14ac:dyDescent="0.25">
      <c r="A18" s="1"/>
      <c r="G18" s="3"/>
      <c r="K18" s="3"/>
    </row>
    <row r="19" spans="1:11" x14ac:dyDescent="0.25">
      <c r="G19" s="3"/>
      <c r="K19" s="3"/>
    </row>
    <row r="20" spans="1:11" x14ac:dyDescent="0.25">
      <c r="A20" s="1">
        <v>42735</v>
      </c>
      <c r="C20" s="2">
        <v>5000</v>
      </c>
      <c r="D20" s="2">
        <v>23000</v>
      </c>
      <c r="E20" s="2">
        <f>C20*D20</f>
        <v>115000000</v>
      </c>
      <c r="G20" t="s">
        <v>0</v>
      </c>
      <c r="I20" s="8">
        <v>115</v>
      </c>
    </row>
    <row r="22" spans="1:11" x14ac:dyDescent="0.25">
      <c r="G22" t="s">
        <v>8</v>
      </c>
      <c r="J22" s="8">
        <v>7.3</v>
      </c>
      <c r="K22" s="8">
        <f>I15+J22</f>
        <v>24.8</v>
      </c>
    </row>
    <row r="26" spans="1:11" x14ac:dyDescent="0.25">
      <c r="A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opLeftCell="A5" workbookViewId="0">
      <selection activeCell="F19" sqref="F19"/>
    </sheetView>
  </sheetViews>
  <sheetFormatPr defaultRowHeight="15" x14ac:dyDescent="0.25"/>
  <cols>
    <col min="1" max="1" width="15.140625" customWidth="1"/>
    <col min="3" max="3" width="16" customWidth="1"/>
    <col min="4" max="4" width="10.5703125" bestFit="1" customWidth="1"/>
    <col min="5" max="5" width="17" customWidth="1"/>
    <col min="6" max="6" width="15.28515625" bestFit="1" customWidth="1"/>
    <col min="7" max="9" width="14.28515625" customWidth="1"/>
    <col min="12" max="12" width="12.28515625" bestFit="1" customWidth="1"/>
    <col min="14" max="14" width="9.140625" style="10"/>
  </cols>
  <sheetData>
    <row r="1" spans="1:21" x14ac:dyDescent="0.25">
      <c r="C1" s="2" t="s">
        <v>0</v>
      </c>
      <c r="D1" s="2"/>
      <c r="E1" s="2"/>
      <c r="L1" s="8"/>
      <c r="M1" s="8"/>
    </row>
    <row r="2" spans="1:21" x14ac:dyDescent="0.25">
      <c r="C2" s="2" t="s">
        <v>1</v>
      </c>
      <c r="D2" s="2" t="s">
        <v>3</v>
      </c>
      <c r="E2" s="2" t="s">
        <v>4</v>
      </c>
      <c r="L2" s="8"/>
      <c r="M2" s="8"/>
    </row>
    <row r="3" spans="1:21" x14ac:dyDescent="0.25">
      <c r="C3" s="2" t="s">
        <v>2</v>
      </c>
      <c r="D3" s="2"/>
      <c r="E3" s="2" t="s">
        <v>5</v>
      </c>
      <c r="L3" s="8" t="s">
        <v>6</v>
      </c>
      <c r="M3" s="8"/>
    </row>
    <row r="4" spans="1:21" x14ac:dyDescent="0.25">
      <c r="A4" s="19">
        <v>42170</v>
      </c>
      <c r="B4" s="20"/>
      <c r="C4" s="21">
        <v>3000</v>
      </c>
      <c r="D4" s="21">
        <v>20000</v>
      </c>
      <c r="E4" s="21">
        <f>C4*D4</f>
        <v>60000000</v>
      </c>
      <c r="L4" s="8" t="s">
        <v>7</v>
      </c>
      <c r="M4" s="8"/>
      <c r="P4" t="s">
        <v>11</v>
      </c>
    </row>
    <row r="5" spans="1:21" x14ac:dyDescent="0.25">
      <c r="A5" s="1">
        <v>42170</v>
      </c>
      <c r="C5" s="2">
        <v>7000</v>
      </c>
      <c r="D5" s="2">
        <v>20000</v>
      </c>
      <c r="E5" s="5">
        <f>C5*D5</f>
        <v>140000000</v>
      </c>
      <c r="L5" s="8"/>
      <c r="M5" s="8"/>
    </row>
    <row r="6" spans="1:21" x14ac:dyDescent="0.25">
      <c r="A6" s="1"/>
      <c r="C6" s="2"/>
      <c r="D6" s="2"/>
      <c r="E6" s="2">
        <f>SUM(E4:E5)</f>
        <v>200000000</v>
      </c>
      <c r="L6" s="8"/>
      <c r="M6" s="8"/>
    </row>
    <row r="7" spans="1:21" x14ac:dyDescent="0.25">
      <c r="A7" s="1"/>
      <c r="C7" s="2"/>
      <c r="D7" s="2"/>
      <c r="E7" s="2"/>
      <c r="L7" s="8"/>
      <c r="M7" s="8"/>
    </row>
    <row r="8" spans="1:21" x14ac:dyDescent="0.25">
      <c r="C8" s="2"/>
      <c r="D8" s="2"/>
      <c r="E8" s="2"/>
      <c r="L8" s="8"/>
      <c r="M8" s="8"/>
    </row>
    <row r="9" spans="1:21" x14ac:dyDescent="0.25">
      <c r="A9" s="1">
        <v>42369</v>
      </c>
      <c r="C9" s="2">
        <v>10000</v>
      </c>
      <c r="D9" s="2">
        <v>22000</v>
      </c>
      <c r="E9" s="2">
        <f>C9*D9</f>
        <v>220000000</v>
      </c>
      <c r="J9" t="s">
        <v>0</v>
      </c>
      <c r="L9" s="8">
        <v>220</v>
      </c>
      <c r="M9" s="8"/>
    </row>
    <row r="10" spans="1:21" s="20" customFormat="1" x14ac:dyDescent="0.25">
      <c r="A10" s="23">
        <v>42369</v>
      </c>
      <c r="C10" s="24">
        <v>3000</v>
      </c>
      <c r="D10" s="21"/>
      <c r="E10" s="24">
        <f>E4</f>
        <v>60000000</v>
      </c>
      <c r="F10" s="21">
        <f>C10*D9</f>
        <v>66000000</v>
      </c>
      <c r="G10" s="25">
        <f>F10-E10</f>
        <v>6000000</v>
      </c>
      <c r="L10" s="26" t="s">
        <v>12</v>
      </c>
      <c r="M10" s="26" t="s">
        <v>13</v>
      </c>
      <c r="N10" s="20" t="s">
        <v>15</v>
      </c>
    </row>
    <row r="11" spans="1:21" x14ac:dyDescent="0.25">
      <c r="A11" s="22">
        <v>42369</v>
      </c>
      <c r="C11" s="15">
        <v>7000</v>
      </c>
      <c r="D11" s="2"/>
      <c r="E11" s="16">
        <f>E5</f>
        <v>140000000</v>
      </c>
      <c r="F11" s="2">
        <f>C11*D9</f>
        <v>154000000</v>
      </c>
      <c r="G11" s="17">
        <f t="shared" ref="G11" si="0">F11-E11</f>
        <v>14000000</v>
      </c>
      <c r="J11" t="s">
        <v>8</v>
      </c>
      <c r="L11" s="8"/>
      <c r="M11" s="8">
        <v>20</v>
      </c>
      <c r="O11" s="3" t="s">
        <v>18</v>
      </c>
      <c r="P11" t="s">
        <v>17</v>
      </c>
      <c r="R11">
        <f>M11</f>
        <v>20</v>
      </c>
      <c r="U11">
        <v>6</v>
      </c>
    </row>
    <row r="12" spans="1:21" x14ac:dyDescent="0.25">
      <c r="C12" s="2"/>
      <c r="D12" s="2"/>
      <c r="E12" s="2"/>
      <c r="L12" s="8"/>
      <c r="M12" s="8"/>
      <c r="U12">
        <v>14</v>
      </c>
    </row>
    <row r="13" spans="1:21" x14ac:dyDescent="0.25">
      <c r="C13" s="2"/>
      <c r="D13" s="2"/>
      <c r="E13" s="2"/>
      <c r="J13" s="3" t="s">
        <v>9</v>
      </c>
      <c r="L13" s="8" t="s">
        <v>10</v>
      </c>
      <c r="M13" s="8"/>
      <c r="O13" s="3" t="s">
        <v>10</v>
      </c>
    </row>
    <row r="14" spans="1:21" x14ac:dyDescent="0.25">
      <c r="A14" s="1">
        <v>42370</v>
      </c>
      <c r="C14" s="2">
        <v>10000</v>
      </c>
      <c r="D14" s="2"/>
      <c r="E14" s="2">
        <f>E6</f>
        <v>200000000</v>
      </c>
      <c r="I14" s="1">
        <f>A14</f>
        <v>42370</v>
      </c>
      <c r="J14" s="10" t="s">
        <v>8</v>
      </c>
      <c r="K14" t="s">
        <v>14</v>
      </c>
      <c r="L14" s="8"/>
      <c r="M14" s="8">
        <v>-20</v>
      </c>
      <c r="N14" s="10">
        <f>L14+M14</f>
        <v>-20</v>
      </c>
      <c r="P14" t="s">
        <v>19</v>
      </c>
      <c r="R14">
        <f>N14</f>
        <v>-20</v>
      </c>
    </row>
    <row r="15" spans="1:21" s="20" customFormat="1" x14ac:dyDescent="0.25">
      <c r="A15" s="19"/>
      <c r="C15" s="21"/>
      <c r="D15" s="21"/>
      <c r="E15" s="21"/>
      <c r="G15" s="21">
        <v>-6000000</v>
      </c>
      <c r="L15" s="26"/>
      <c r="M15" s="26"/>
    </row>
    <row r="16" spans="1:21" x14ac:dyDescent="0.25">
      <c r="A16" s="1">
        <v>42569</v>
      </c>
      <c r="C16" s="2">
        <v>-7000</v>
      </c>
      <c r="D16" s="2">
        <v>22500</v>
      </c>
      <c r="E16" s="2">
        <f>C16*D16</f>
        <v>-157500000</v>
      </c>
      <c r="I16" s="1">
        <f>A16</f>
        <v>42569</v>
      </c>
      <c r="J16" s="10" t="s">
        <v>8</v>
      </c>
      <c r="K16" t="s">
        <v>12</v>
      </c>
      <c r="L16" s="11">
        <v>17.5</v>
      </c>
      <c r="N16" s="10">
        <f>L16+M16</f>
        <v>17.5</v>
      </c>
      <c r="U16">
        <v>-14</v>
      </c>
    </row>
    <row r="17" spans="1:22" x14ac:dyDescent="0.25">
      <c r="A17" s="1">
        <v>42574</v>
      </c>
      <c r="C17" s="5">
        <v>2000</v>
      </c>
      <c r="D17" s="5">
        <v>22600</v>
      </c>
      <c r="E17" s="5">
        <f>C17*D17</f>
        <v>45200000</v>
      </c>
      <c r="I17" s="1">
        <f>A17</f>
        <v>42574</v>
      </c>
      <c r="J17" s="10" t="s">
        <v>8</v>
      </c>
      <c r="K17" t="s">
        <v>16</v>
      </c>
      <c r="L17" s="8">
        <v>0</v>
      </c>
      <c r="M17" s="8"/>
      <c r="N17" s="10">
        <f>L17+M17</f>
        <v>0</v>
      </c>
    </row>
    <row r="18" spans="1:22" x14ac:dyDescent="0.25">
      <c r="A18" s="1"/>
      <c r="C18" s="2">
        <f>C9+C16+C17</f>
        <v>5000</v>
      </c>
      <c r="D18" s="2"/>
      <c r="E18" s="2">
        <f>E9+E16+E17</f>
        <v>107700000</v>
      </c>
      <c r="J18" s="3"/>
      <c r="L18" s="8"/>
      <c r="M18" s="8"/>
    </row>
    <row r="19" spans="1:22" x14ac:dyDescent="0.25">
      <c r="A19" s="1"/>
      <c r="C19" s="2"/>
      <c r="D19" s="2"/>
      <c r="E19" s="2"/>
      <c r="J19" s="3"/>
      <c r="L19" s="8"/>
      <c r="M19" s="8"/>
    </row>
    <row r="20" spans="1:22" x14ac:dyDescent="0.25">
      <c r="C20" s="2"/>
      <c r="D20" s="2"/>
      <c r="E20" s="2"/>
      <c r="J20" s="3"/>
      <c r="L20" s="8"/>
      <c r="M20" s="8"/>
    </row>
    <row r="21" spans="1:22" x14ac:dyDescent="0.25">
      <c r="A21" s="1">
        <v>42735</v>
      </c>
      <c r="C21" s="2">
        <v>5000</v>
      </c>
      <c r="D21" s="2">
        <v>23000</v>
      </c>
      <c r="E21" s="2">
        <f>C21*D21</f>
        <v>115000000</v>
      </c>
      <c r="H21" s="28">
        <f>G15+G23</f>
        <v>3000000</v>
      </c>
      <c r="M21" s="8"/>
      <c r="R21" s="8"/>
    </row>
    <row r="22" spans="1:22" x14ac:dyDescent="0.25">
      <c r="C22" s="2"/>
      <c r="D22" s="2"/>
      <c r="E22" s="2"/>
      <c r="L22" s="8"/>
      <c r="M22" s="8"/>
    </row>
    <row r="23" spans="1:22" s="20" customFormat="1" x14ac:dyDescent="0.25">
      <c r="A23" s="19">
        <v>42735</v>
      </c>
      <c r="C23" s="21">
        <v>3000</v>
      </c>
      <c r="D23" s="21"/>
      <c r="E23" s="21">
        <f>E4</f>
        <v>60000000</v>
      </c>
      <c r="F23" s="21">
        <f>C23*D21</f>
        <v>69000000</v>
      </c>
      <c r="G23" s="27">
        <f>F23-E23</f>
        <v>9000000</v>
      </c>
      <c r="H23" s="21" t="s">
        <v>13</v>
      </c>
      <c r="I23" s="19">
        <f>A21</f>
        <v>42735</v>
      </c>
      <c r="J23" s="20" t="s">
        <v>8</v>
      </c>
      <c r="L23" s="26"/>
      <c r="M23" s="26">
        <v>9</v>
      </c>
      <c r="N23" s="20">
        <f t="shared" ref="N23:N24" si="1">L23+M23</f>
        <v>9</v>
      </c>
      <c r="P23" s="20" t="s">
        <v>17</v>
      </c>
      <c r="R23" s="20">
        <f>N23</f>
        <v>9</v>
      </c>
      <c r="U23" s="20">
        <v>3</v>
      </c>
    </row>
    <row r="24" spans="1:22" x14ac:dyDescent="0.25">
      <c r="A24" s="1">
        <v>42735</v>
      </c>
      <c r="C24" s="2">
        <v>2000</v>
      </c>
      <c r="E24" s="4">
        <f>E17</f>
        <v>45200000</v>
      </c>
      <c r="F24" s="2">
        <f>C24*D21</f>
        <v>46000000</v>
      </c>
      <c r="G24" s="12">
        <f>F24-E24</f>
        <v>800000</v>
      </c>
      <c r="H24" s="2" t="s">
        <v>13</v>
      </c>
      <c r="I24" s="1">
        <f>A22</f>
        <v>0</v>
      </c>
      <c r="J24" s="10" t="s">
        <v>8</v>
      </c>
      <c r="L24" s="13"/>
      <c r="M24" s="13">
        <v>0.8</v>
      </c>
      <c r="N24" s="14">
        <f t="shared" si="1"/>
        <v>0.8</v>
      </c>
      <c r="P24" t="s">
        <v>17</v>
      </c>
      <c r="R24">
        <f>N24</f>
        <v>0.8</v>
      </c>
      <c r="S24" s="3">
        <f>SUM(R14:R24)</f>
        <v>-10.199999999999999</v>
      </c>
      <c r="U24">
        <v>0.8</v>
      </c>
      <c r="V24" s="3">
        <f>SUM(U14:U24)</f>
        <v>-10.199999999999999</v>
      </c>
    </row>
    <row r="25" spans="1:22" x14ac:dyDescent="0.25">
      <c r="I25" t="s">
        <v>15</v>
      </c>
      <c r="N25" s="3">
        <f>SUM(N13:N24)</f>
        <v>7.3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C24" sqref="C24"/>
    </sheetView>
  </sheetViews>
  <sheetFormatPr defaultRowHeight="15" x14ac:dyDescent="0.25"/>
  <cols>
    <col min="1" max="1" width="22.140625" customWidth="1"/>
    <col min="2" max="2" width="43" customWidth="1"/>
  </cols>
  <sheetData>
    <row r="1" spans="1:13" x14ac:dyDescent="0.25">
      <c r="M1" t="s">
        <v>11</v>
      </c>
    </row>
    <row r="2" spans="1:13" x14ac:dyDescent="0.25">
      <c r="H2" t="s">
        <v>18</v>
      </c>
      <c r="K2" s="18">
        <v>42423</v>
      </c>
      <c r="M2" s="18">
        <v>42369</v>
      </c>
    </row>
    <row r="3" spans="1:13" x14ac:dyDescent="0.25">
      <c r="A3" t="s">
        <v>20</v>
      </c>
      <c r="B3" t="s">
        <v>21</v>
      </c>
      <c r="D3">
        <v>10</v>
      </c>
      <c r="F3" t="s">
        <v>23</v>
      </c>
      <c r="H3" t="s">
        <v>25</v>
      </c>
      <c r="K3">
        <v>4</v>
      </c>
      <c r="M3">
        <f>-D3</f>
        <v>-10</v>
      </c>
    </row>
    <row r="4" spans="1:13" x14ac:dyDescent="0.25">
      <c r="B4" t="s">
        <v>22</v>
      </c>
      <c r="D4" s="6">
        <v>6</v>
      </c>
      <c r="F4" t="s">
        <v>24</v>
      </c>
      <c r="K4" s="6">
        <v>-2</v>
      </c>
      <c r="M4">
        <v>0</v>
      </c>
    </row>
    <row r="5" spans="1:13" x14ac:dyDescent="0.25">
      <c r="D5" s="3">
        <f>SUM(D3:D4)</f>
        <v>16</v>
      </c>
    </row>
    <row r="9" spans="1:13" x14ac:dyDescent="0.25">
      <c r="A9" t="s">
        <v>10</v>
      </c>
      <c r="H9" t="s">
        <v>11</v>
      </c>
    </row>
    <row r="10" spans="1:13" x14ac:dyDescent="0.25">
      <c r="A10" s="1">
        <v>42735</v>
      </c>
      <c r="B10" t="s">
        <v>26</v>
      </c>
      <c r="C10" s="2">
        <v>3000</v>
      </c>
      <c r="D10" s="2" t="s">
        <v>32</v>
      </c>
      <c r="E10" s="2" t="s">
        <v>33</v>
      </c>
      <c r="F10" s="2"/>
      <c r="G10" s="12"/>
    </row>
    <row r="11" spans="1:13" x14ac:dyDescent="0.25">
      <c r="A11" s="1">
        <v>42735</v>
      </c>
      <c r="B11" t="s">
        <v>27</v>
      </c>
      <c r="C11" s="2">
        <v>2000</v>
      </c>
      <c r="D11" t="s">
        <v>34</v>
      </c>
      <c r="E11" s="4" t="s">
        <v>35</v>
      </c>
      <c r="F11" s="2"/>
      <c r="G11" s="12"/>
      <c r="H11" t="s">
        <v>36</v>
      </c>
      <c r="I11" s="4"/>
      <c r="K11" s="3">
        <f>500</f>
        <v>500</v>
      </c>
    </row>
    <row r="12" spans="1:13" x14ac:dyDescent="0.25">
      <c r="A12" s="1">
        <v>42735</v>
      </c>
      <c r="B12" t="s">
        <v>28</v>
      </c>
      <c r="C12" s="2">
        <v>1000</v>
      </c>
      <c r="D12" s="2" t="s">
        <v>32</v>
      </c>
      <c r="E12" s="2" t="s">
        <v>33</v>
      </c>
    </row>
    <row r="13" spans="1:13" x14ac:dyDescent="0.25">
      <c r="A13" s="1">
        <v>42735</v>
      </c>
      <c r="B13" t="s">
        <v>29</v>
      </c>
      <c r="C13" s="2">
        <v>500</v>
      </c>
      <c r="D13" t="s">
        <v>34</v>
      </c>
      <c r="E13" s="4" t="s">
        <v>35</v>
      </c>
      <c r="I13" s="4"/>
    </row>
    <row r="14" spans="1:13" x14ac:dyDescent="0.25">
      <c r="A14" s="1">
        <v>42735</v>
      </c>
      <c r="B14" t="s">
        <v>30</v>
      </c>
      <c r="C14" s="2">
        <v>-1000</v>
      </c>
      <c r="D14" s="2" t="s">
        <v>32</v>
      </c>
      <c r="E14" s="2" t="s">
        <v>33</v>
      </c>
    </row>
    <row r="15" spans="1:13" x14ac:dyDescent="0.25">
      <c r="A15" s="1">
        <v>42735</v>
      </c>
      <c r="B15" t="s">
        <v>31</v>
      </c>
      <c r="C15" s="5">
        <v>-2000</v>
      </c>
      <c r="D15" t="s">
        <v>34</v>
      </c>
      <c r="E15" s="4" t="s">
        <v>35</v>
      </c>
      <c r="I15" s="4"/>
      <c r="J15" s="4"/>
    </row>
    <row r="16" spans="1:13" x14ac:dyDescent="0.25">
      <c r="C16" s="17">
        <f>SUM(C10:C15)</f>
        <v>3500</v>
      </c>
    </row>
    <row r="17" spans="1:12" x14ac:dyDescent="0.25">
      <c r="C17" s="17"/>
    </row>
    <row r="18" spans="1:12" x14ac:dyDescent="0.25">
      <c r="A18" s="1">
        <v>42736</v>
      </c>
      <c r="B18" t="s">
        <v>38</v>
      </c>
      <c r="C18" s="2">
        <v>3000</v>
      </c>
      <c r="D18" s="2" t="s">
        <v>32</v>
      </c>
      <c r="E18" s="4" t="s">
        <v>39</v>
      </c>
      <c r="H18" t="s">
        <v>41</v>
      </c>
      <c r="K18">
        <f>-K11</f>
        <v>-500</v>
      </c>
      <c r="L18" s="7">
        <f>C19+C21+C23</f>
        <v>500</v>
      </c>
    </row>
    <row r="19" spans="1:12" x14ac:dyDescent="0.25">
      <c r="A19" s="1">
        <v>42737</v>
      </c>
      <c r="B19" t="s">
        <v>27</v>
      </c>
      <c r="C19" s="2">
        <v>2000</v>
      </c>
      <c r="D19" t="s">
        <v>34</v>
      </c>
      <c r="E19" s="4" t="s">
        <v>40</v>
      </c>
    </row>
    <row r="20" spans="1:12" x14ac:dyDescent="0.25">
      <c r="A20" s="1">
        <v>42738</v>
      </c>
      <c r="B20" t="s">
        <v>28</v>
      </c>
      <c r="C20" s="2">
        <v>1000</v>
      </c>
      <c r="D20" s="2" t="s">
        <v>32</v>
      </c>
      <c r="E20" s="4" t="s">
        <v>39</v>
      </c>
    </row>
    <row r="21" spans="1:12" x14ac:dyDescent="0.25">
      <c r="A21" s="1">
        <v>42739</v>
      </c>
      <c r="B21" t="s">
        <v>29</v>
      </c>
      <c r="C21" s="2">
        <v>500</v>
      </c>
      <c r="D21" t="s">
        <v>34</v>
      </c>
      <c r="E21" s="4" t="s">
        <v>40</v>
      </c>
    </row>
    <row r="22" spans="1:12" x14ac:dyDescent="0.25">
      <c r="A22" s="1">
        <v>42740</v>
      </c>
      <c r="B22" t="s">
        <v>30</v>
      </c>
      <c r="C22" s="2">
        <v>-1000</v>
      </c>
      <c r="D22" s="2" t="s">
        <v>32</v>
      </c>
      <c r="E22" s="4" t="s">
        <v>39</v>
      </c>
    </row>
    <row r="23" spans="1:12" x14ac:dyDescent="0.25">
      <c r="A23" s="1">
        <v>42741</v>
      </c>
      <c r="B23" t="s">
        <v>31</v>
      </c>
      <c r="C23" s="5">
        <v>-2000</v>
      </c>
      <c r="D23" t="s">
        <v>34</v>
      </c>
      <c r="E23" s="4" t="s">
        <v>40</v>
      </c>
    </row>
    <row r="24" spans="1:12" x14ac:dyDescent="0.25">
      <c r="C24" s="7">
        <f>SUM(C18:C23)</f>
        <v>3500</v>
      </c>
    </row>
    <row r="26" spans="1:12" x14ac:dyDescent="0.25">
      <c r="A26" s="1">
        <v>43100</v>
      </c>
      <c r="B26" t="s">
        <v>26</v>
      </c>
      <c r="C26" s="2">
        <v>1000</v>
      </c>
      <c r="D26" s="2" t="s">
        <v>32</v>
      </c>
    </row>
    <row r="27" spans="1:12" x14ac:dyDescent="0.25">
      <c r="A27" s="1">
        <v>43100</v>
      </c>
      <c r="B27" t="s">
        <v>27</v>
      </c>
      <c r="C27" s="2">
        <v>3000</v>
      </c>
      <c r="D27" t="s">
        <v>34</v>
      </c>
      <c r="H27" t="s">
        <v>37</v>
      </c>
      <c r="K27" s="4">
        <f>C27+C29+C31</f>
        <v>21000</v>
      </c>
    </row>
    <row r="28" spans="1:12" x14ac:dyDescent="0.25">
      <c r="A28" s="1">
        <v>43100</v>
      </c>
      <c r="B28" t="s">
        <v>28</v>
      </c>
      <c r="C28" s="2">
        <v>5000</v>
      </c>
      <c r="D28" s="2" t="s">
        <v>32</v>
      </c>
    </row>
    <row r="29" spans="1:12" x14ac:dyDescent="0.25">
      <c r="A29" s="1">
        <v>43100</v>
      </c>
      <c r="B29" t="s">
        <v>29</v>
      </c>
      <c r="C29" s="2">
        <v>7000</v>
      </c>
      <c r="D29" t="s">
        <v>34</v>
      </c>
    </row>
    <row r="30" spans="1:12" x14ac:dyDescent="0.25">
      <c r="A30" s="1">
        <v>43100</v>
      </c>
      <c r="B30" t="s">
        <v>30</v>
      </c>
      <c r="C30" s="2">
        <v>9000</v>
      </c>
      <c r="D30" s="2" t="s">
        <v>32</v>
      </c>
    </row>
    <row r="31" spans="1:12" x14ac:dyDescent="0.25">
      <c r="A31" s="1">
        <v>43100</v>
      </c>
      <c r="B31" t="s">
        <v>31</v>
      </c>
      <c r="C31" s="2">
        <v>11000</v>
      </c>
      <c r="D3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4"/>
  <sheetViews>
    <sheetView tabSelected="1" topLeftCell="A68" workbookViewId="0">
      <selection activeCell="A75" sqref="A75"/>
    </sheetView>
  </sheetViews>
  <sheetFormatPr defaultRowHeight="15" x14ac:dyDescent="0.25"/>
  <cols>
    <col min="1" max="1" width="15.28515625" customWidth="1"/>
  </cols>
  <sheetData>
    <row r="3" spans="2:7" x14ac:dyDescent="0.25">
      <c r="G3">
        <v>100</v>
      </c>
    </row>
    <row r="4" spans="2:7" x14ac:dyDescent="0.25">
      <c r="B4" t="s">
        <v>42</v>
      </c>
      <c r="G4">
        <v>10</v>
      </c>
    </row>
    <row r="5" spans="2:7" x14ac:dyDescent="0.25">
      <c r="G5" s="3">
        <f>SUM(G3:G4)</f>
        <v>110</v>
      </c>
    </row>
    <row r="6" spans="2:7" x14ac:dyDescent="0.25">
      <c r="C6" t="s">
        <v>43</v>
      </c>
      <c r="D6" t="s">
        <v>46</v>
      </c>
      <c r="F6">
        <v>110</v>
      </c>
    </row>
    <row r="7" spans="2:7" x14ac:dyDescent="0.25">
      <c r="C7" t="s">
        <v>45</v>
      </c>
      <c r="D7" t="s">
        <v>47</v>
      </c>
      <c r="F7">
        <v>100</v>
      </c>
    </row>
    <row r="8" spans="2:7" x14ac:dyDescent="0.25">
      <c r="C8" t="s">
        <v>45</v>
      </c>
      <c r="D8" t="s">
        <v>59</v>
      </c>
      <c r="F8">
        <v>10</v>
      </c>
    </row>
    <row r="10" spans="2:7" x14ac:dyDescent="0.25">
      <c r="C10" t="s">
        <v>43</v>
      </c>
      <c r="D10" t="s">
        <v>50</v>
      </c>
    </row>
    <row r="11" spans="2:7" x14ac:dyDescent="0.25">
      <c r="C11" t="s">
        <v>45</v>
      </c>
      <c r="D11" t="s">
        <v>49</v>
      </c>
    </row>
    <row r="14" spans="2:7" x14ac:dyDescent="0.25">
      <c r="B14" t="s">
        <v>60</v>
      </c>
      <c r="C14" t="s">
        <v>43</v>
      </c>
      <c r="D14" t="s">
        <v>59</v>
      </c>
      <c r="E14">
        <v>10</v>
      </c>
    </row>
    <row r="15" spans="2:7" x14ac:dyDescent="0.25">
      <c r="C15" t="s">
        <v>45</v>
      </c>
      <c r="D15" t="s">
        <v>44</v>
      </c>
      <c r="E15">
        <v>10</v>
      </c>
    </row>
    <row r="18" spans="2:4" x14ac:dyDescent="0.25">
      <c r="B18" t="s">
        <v>51</v>
      </c>
      <c r="C18" t="s">
        <v>43</v>
      </c>
      <c r="D18">
        <v>211</v>
      </c>
    </row>
    <row r="19" spans="2:4" x14ac:dyDescent="0.25">
      <c r="C19" t="s">
        <v>45</v>
      </c>
      <c r="D19" t="s">
        <v>52</v>
      </c>
    </row>
    <row r="22" spans="2:4" x14ac:dyDescent="0.25">
      <c r="B22" t="s">
        <v>53</v>
      </c>
      <c r="C22" t="s">
        <v>43</v>
      </c>
      <c r="D22">
        <v>632</v>
      </c>
    </row>
    <row r="23" spans="2:4" x14ac:dyDescent="0.25">
      <c r="C23" t="s">
        <v>45</v>
      </c>
      <c r="D23">
        <v>214</v>
      </c>
    </row>
    <row r="25" spans="2:4" x14ac:dyDescent="0.25">
      <c r="B25" t="s">
        <v>54</v>
      </c>
      <c r="C25" t="s">
        <v>55</v>
      </c>
      <c r="D25" t="s">
        <v>50</v>
      </c>
    </row>
    <row r="26" spans="2:4" x14ac:dyDescent="0.25">
      <c r="C26" t="s">
        <v>56</v>
      </c>
      <c r="D26" t="s">
        <v>57</v>
      </c>
    </row>
    <row r="29" spans="2:4" x14ac:dyDescent="0.25">
      <c r="B29" t="s">
        <v>58</v>
      </c>
      <c r="C29" t="s">
        <v>48</v>
      </c>
      <c r="D29" t="s">
        <v>57</v>
      </c>
    </row>
    <row r="30" spans="2:4" x14ac:dyDescent="0.25">
      <c r="C30" t="s">
        <v>45</v>
      </c>
      <c r="D30" t="s">
        <v>44</v>
      </c>
    </row>
    <row r="32" spans="2:4" x14ac:dyDescent="0.25">
      <c r="B32" t="s">
        <v>61</v>
      </c>
      <c r="C32">
        <v>80</v>
      </c>
    </row>
    <row r="33" spans="1:9" x14ac:dyDescent="0.25">
      <c r="C33">
        <v>8</v>
      </c>
    </row>
    <row r="36" spans="1:9" x14ac:dyDescent="0.25">
      <c r="B36" t="s">
        <v>43</v>
      </c>
      <c r="C36" t="s">
        <v>62</v>
      </c>
      <c r="D36">
        <v>80</v>
      </c>
    </row>
    <row r="37" spans="1:9" x14ac:dyDescent="0.25">
      <c r="B37" t="s">
        <v>43</v>
      </c>
      <c r="C37" t="s">
        <v>63</v>
      </c>
      <c r="D37">
        <v>8</v>
      </c>
    </row>
    <row r="38" spans="1:9" x14ac:dyDescent="0.25">
      <c r="B38" t="s">
        <v>45</v>
      </c>
      <c r="C38" t="s">
        <v>52</v>
      </c>
      <c r="D38">
        <v>88</v>
      </c>
    </row>
    <row r="40" spans="1:9" x14ac:dyDescent="0.25">
      <c r="A40" t="s">
        <v>64</v>
      </c>
    </row>
    <row r="41" spans="1:9" x14ac:dyDescent="0.25">
      <c r="A41" t="s">
        <v>65</v>
      </c>
    </row>
    <row r="42" spans="1:9" x14ac:dyDescent="0.25">
      <c r="B42" t="s">
        <v>43</v>
      </c>
      <c r="C42" t="s">
        <v>66</v>
      </c>
      <c r="D42">
        <v>80</v>
      </c>
    </row>
    <row r="43" spans="1:9" x14ac:dyDescent="0.25">
      <c r="B43" t="s">
        <v>43</v>
      </c>
      <c r="C43" t="s">
        <v>63</v>
      </c>
      <c r="D43">
        <v>8</v>
      </c>
    </row>
    <row r="44" spans="1:9" x14ac:dyDescent="0.25">
      <c r="B44" t="s">
        <v>45</v>
      </c>
      <c r="C44" t="s">
        <v>67</v>
      </c>
      <c r="D44">
        <v>88</v>
      </c>
      <c r="G44" t="s">
        <v>55</v>
      </c>
      <c r="H44" t="s">
        <v>71</v>
      </c>
      <c r="I44">
        <v>80</v>
      </c>
    </row>
    <row r="45" spans="1:9" x14ac:dyDescent="0.25">
      <c r="G45" t="s">
        <v>55</v>
      </c>
      <c r="H45" t="s">
        <v>72</v>
      </c>
      <c r="I45">
        <v>8</v>
      </c>
    </row>
    <row r="46" spans="1:9" x14ac:dyDescent="0.25">
      <c r="A46" t="s">
        <v>68</v>
      </c>
      <c r="B46" t="s">
        <v>69</v>
      </c>
      <c r="G46" t="s">
        <v>45</v>
      </c>
      <c r="H46" t="s">
        <v>70</v>
      </c>
      <c r="I46">
        <v>88</v>
      </c>
    </row>
    <row r="47" spans="1:9" x14ac:dyDescent="0.25">
      <c r="B47" t="s">
        <v>55</v>
      </c>
      <c r="C47" t="s">
        <v>67</v>
      </c>
      <c r="D47">
        <v>88</v>
      </c>
    </row>
    <row r="48" spans="1:9" x14ac:dyDescent="0.25">
      <c r="B48" t="s">
        <v>45</v>
      </c>
      <c r="C48" t="s">
        <v>70</v>
      </c>
      <c r="D48">
        <v>88</v>
      </c>
    </row>
    <row r="52" spans="1:4" x14ac:dyDescent="0.25">
      <c r="A52" t="s">
        <v>73</v>
      </c>
      <c r="B52" t="s">
        <v>43</v>
      </c>
      <c r="C52" t="s">
        <v>44</v>
      </c>
      <c r="D52">
        <v>100</v>
      </c>
    </row>
    <row r="53" spans="1:4" x14ac:dyDescent="0.25">
      <c r="B53" t="s">
        <v>45</v>
      </c>
      <c r="C53" t="s">
        <v>74</v>
      </c>
      <c r="D53">
        <v>100</v>
      </c>
    </row>
    <row r="56" spans="1:4" x14ac:dyDescent="0.25">
      <c r="A56" t="s">
        <v>75</v>
      </c>
      <c r="B56" t="s">
        <v>77</v>
      </c>
      <c r="D56">
        <v>100</v>
      </c>
    </row>
    <row r="57" spans="1:4" x14ac:dyDescent="0.25">
      <c r="B57" t="s">
        <v>76</v>
      </c>
      <c r="D57">
        <v>100</v>
      </c>
    </row>
    <row r="59" spans="1:4" x14ac:dyDescent="0.25">
      <c r="A59" t="s">
        <v>78</v>
      </c>
      <c r="B59" t="s">
        <v>55</v>
      </c>
      <c r="C59" t="s">
        <v>79</v>
      </c>
      <c r="D59">
        <v>20</v>
      </c>
    </row>
    <row r="60" spans="1:4" x14ac:dyDescent="0.25">
      <c r="B60" t="s">
        <v>45</v>
      </c>
      <c r="C60" t="s">
        <v>78</v>
      </c>
      <c r="D60">
        <v>20</v>
      </c>
    </row>
    <row r="62" spans="1:4" x14ac:dyDescent="0.25">
      <c r="A62" s="3" t="s">
        <v>80</v>
      </c>
      <c r="B62" s="3">
        <v>80</v>
      </c>
    </row>
    <row r="63" spans="1:4" x14ac:dyDescent="0.25">
      <c r="A63" t="s">
        <v>85</v>
      </c>
      <c r="B63">
        <v>10</v>
      </c>
    </row>
    <row r="64" spans="1:4" x14ac:dyDescent="0.25">
      <c r="B64">
        <f>SUM(B62:B63)</f>
        <v>90</v>
      </c>
    </row>
    <row r="65" spans="1:5" x14ac:dyDescent="0.25">
      <c r="D65" s="3">
        <f>B64+B67+B68</f>
        <v>105</v>
      </c>
    </row>
    <row r="66" spans="1:5" x14ac:dyDescent="0.25">
      <c r="A66" t="s">
        <v>83</v>
      </c>
      <c r="B66">
        <v>85</v>
      </c>
      <c r="E66" s="3">
        <f>B66-D65</f>
        <v>-20</v>
      </c>
    </row>
    <row r="67" spans="1:5" x14ac:dyDescent="0.25">
      <c r="A67" t="s">
        <v>81</v>
      </c>
      <c r="B67">
        <v>10</v>
      </c>
    </row>
    <row r="68" spans="1:5" x14ac:dyDescent="0.25">
      <c r="A68" t="s">
        <v>82</v>
      </c>
      <c r="B68">
        <v>5</v>
      </c>
    </row>
    <row r="69" spans="1:5" x14ac:dyDescent="0.25">
      <c r="D69" s="3" t="s">
        <v>84</v>
      </c>
      <c r="E69" s="3">
        <f>B66-(B67+B68)-B63</f>
        <v>60</v>
      </c>
    </row>
    <row r="72" spans="1:5" x14ac:dyDescent="0.25">
      <c r="A72" t="s">
        <v>118</v>
      </c>
    </row>
    <row r="73" spans="1:5" x14ac:dyDescent="0.25">
      <c r="A73" t="s">
        <v>119</v>
      </c>
    </row>
    <row r="74" spans="1:5" x14ac:dyDescent="0.25">
      <c r="A74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4" sqref="F4"/>
    </sheetView>
  </sheetViews>
  <sheetFormatPr defaultRowHeight="15" x14ac:dyDescent="0.25"/>
  <cols>
    <col min="1" max="2" width="51.28515625" customWidth="1"/>
    <col min="6" max="6" width="33" customWidth="1"/>
  </cols>
  <sheetData>
    <row r="1" spans="1:8" ht="18" x14ac:dyDescent="0.25">
      <c r="A1" s="29" t="s">
        <v>86</v>
      </c>
      <c r="B1" s="29" t="s">
        <v>87</v>
      </c>
    </row>
    <row r="2" spans="1:8" ht="18" x14ac:dyDescent="0.25">
      <c r="A2" s="30" t="s">
        <v>88</v>
      </c>
      <c r="B2" s="31" t="s">
        <v>89</v>
      </c>
    </row>
    <row r="3" spans="1:8" ht="26.25" customHeight="1" x14ac:dyDescent="0.25">
      <c r="A3" s="30" t="s">
        <v>90</v>
      </c>
      <c r="B3" s="31" t="s">
        <v>91</v>
      </c>
      <c r="E3" s="31" t="s">
        <v>108</v>
      </c>
      <c r="F3" s="31" t="s">
        <v>109</v>
      </c>
      <c r="G3" s="31" t="s">
        <v>110</v>
      </c>
      <c r="H3" s="33"/>
    </row>
    <row r="4" spans="1:8" ht="36" x14ac:dyDescent="0.25">
      <c r="A4" s="30" t="s">
        <v>92</v>
      </c>
      <c r="B4" s="31" t="s">
        <v>93</v>
      </c>
      <c r="E4" s="31">
        <v>1</v>
      </c>
      <c r="F4" s="31" t="s">
        <v>111</v>
      </c>
      <c r="G4" s="34">
        <v>0.05</v>
      </c>
      <c r="H4" s="33"/>
    </row>
    <row r="5" spans="1:8" ht="63.75" customHeight="1" x14ac:dyDescent="0.25">
      <c r="A5" s="30" t="s">
        <v>94</v>
      </c>
      <c r="B5" s="31" t="s">
        <v>95</v>
      </c>
      <c r="E5" s="31">
        <v>2</v>
      </c>
      <c r="F5" s="31" t="s">
        <v>112</v>
      </c>
      <c r="G5" s="34">
        <v>0.1</v>
      </c>
      <c r="H5" s="33"/>
    </row>
    <row r="6" spans="1:8" ht="48" customHeight="1" x14ac:dyDescent="0.25">
      <c r="A6" s="30" t="s">
        <v>96</v>
      </c>
      <c r="B6" s="31" t="s">
        <v>97</v>
      </c>
      <c r="E6" s="31">
        <v>3</v>
      </c>
      <c r="F6" s="31" t="s">
        <v>113</v>
      </c>
      <c r="G6" s="34">
        <v>0.15</v>
      </c>
      <c r="H6" s="33"/>
    </row>
    <row r="7" spans="1:8" ht="54" x14ac:dyDescent="0.25">
      <c r="A7" s="30" t="s">
        <v>98</v>
      </c>
      <c r="B7" s="31" t="s">
        <v>103</v>
      </c>
      <c r="E7" s="31">
        <v>4</v>
      </c>
      <c r="F7" s="31" t="s">
        <v>114</v>
      </c>
      <c r="G7" s="34">
        <v>0.2</v>
      </c>
      <c r="H7" s="33"/>
    </row>
    <row r="8" spans="1:8" ht="72" x14ac:dyDescent="0.25">
      <c r="A8" s="32" t="s">
        <v>99</v>
      </c>
      <c r="B8" s="31" t="s">
        <v>104</v>
      </c>
      <c r="E8" s="31">
        <v>5</v>
      </c>
      <c r="F8" s="31" t="s">
        <v>115</v>
      </c>
      <c r="G8" s="34">
        <v>0.25</v>
      </c>
      <c r="H8" s="33"/>
    </row>
    <row r="9" spans="1:8" ht="48" customHeight="1" x14ac:dyDescent="0.25">
      <c r="A9" s="32" t="s">
        <v>100</v>
      </c>
      <c r="B9" s="31" t="s">
        <v>105</v>
      </c>
      <c r="E9" s="31">
        <v>6</v>
      </c>
      <c r="F9" s="31" t="s">
        <v>116</v>
      </c>
      <c r="G9" s="34">
        <v>0.3</v>
      </c>
      <c r="H9" s="33"/>
    </row>
    <row r="10" spans="1:8" ht="48" customHeight="1" x14ac:dyDescent="0.25">
      <c r="A10" s="32" t="s">
        <v>101</v>
      </c>
      <c r="B10" s="31" t="s">
        <v>106</v>
      </c>
      <c r="E10" s="31">
        <v>7</v>
      </c>
      <c r="F10" s="31" t="s">
        <v>117</v>
      </c>
      <c r="G10" s="34">
        <v>0.35</v>
      </c>
      <c r="H10" s="33"/>
    </row>
    <row r="11" spans="1:8" ht="72" x14ac:dyDescent="0.25">
      <c r="A11" s="32" t="s">
        <v>102</v>
      </c>
      <c r="B11" s="31" t="s">
        <v>107</v>
      </c>
      <c r="H11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070EC7B8CDA46B67D0AB247BB0995" ma:contentTypeVersion="17" ma:contentTypeDescription="Create a new document." ma:contentTypeScope="" ma:versionID="6208f6ef4f99ac4220cc73d428f7a3be">
  <xsd:schema xmlns:xsd="http://www.w3.org/2001/XMLSchema" xmlns:xs="http://www.w3.org/2001/XMLSchema" xmlns:p="http://schemas.microsoft.com/office/2006/metadata/properties" xmlns:ns2="3841c666-fd63-40bc-beef-ced2745222d3" xmlns:ns3="097e1a6a-fc06-45b2-8873-15e0270064ac" xmlns:ns4="4243d5be-521d-4052-81ca-f0f31ea6f2da" targetNamespace="http://schemas.microsoft.com/office/2006/metadata/properties" ma:root="true" ma:fieldsID="811c77fad17e661c7daf78d2eb917f1e" ns2:_="" ns3:_="" ns4:_="">
    <xsd:import namespace="3841c666-fd63-40bc-beef-ced2745222d3"/>
    <xsd:import namespace="097e1a6a-fc06-45b2-8873-15e0270064ac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c666-fd63-40bc-beef-ced274522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e1a6a-fc06-45b2-8873-15e027006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735b32c-89d7-4def-8826-2e55c195f91e}" ma:internalName="TaxCatchAll" ma:showField="CatchAllData" ma:web="097e1a6a-fc06-45b2-8873-15e027006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41c666-fd63-40bc-beef-ced2745222d3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Props1.xml><?xml version="1.0" encoding="utf-8"?>
<ds:datastoreItem xmlns:ds="http://schemas.openxmlformats.org/officeDocument/2006/customXml" ds:itemID="{BD73256A-AE5D-461C-9DD3-4F9156E9FD23}"/>
</file>

<file path=customXml/itemProps2.xml><?xml version="1.0" encoding="utf-8"?>
<ds:datastoreItem xmlns:ds="http://schemas.openxmlformats.org/officeDocument/2006/customXml" ds:itemID="{A3995E61-0612-4B6E-9DA3-0A984ADC2D2D}"/>
</file>

<file path=customXml/itemProps3.xml><?xml version="1.0" encoding="utf-8"?>
<ds:datastoreItem xmlns:ds="http://schemas.openxmlformats.org/officeDocument/2006/customXml" ds:itemID="{B06A1582-F878-4FF0-ADAB-8B743DF7D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Thi Vien</dc:creator>
  <cp:lastModifiedBy>Dinh, Thi Vien</cp:lastModifiedBy>
  <dcterms:created xsi:type="dcterms:W3CDTF">2016-02-28T10:35:50Z</dcterms:created>
  <dcterms:modified xsi:type="dcterms:W3CDTF">2016-02-29T04:16:33Z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0x0101008E6070EC7B8CDA46B67D0AB247BB0995</vt:lpwstr>
  </property>
</Properties>
</file>